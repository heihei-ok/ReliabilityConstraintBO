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A\Desktop\BYS_MR\Constrained multi-fidelity active learning framework\data\"/>
    </mc:Choice>
  </mc:AlternateContent>
  <xr:revisionPtr revIDLastSave="0" documentId="13_ncr:1_{226C9027-D516-45C2-A98D-E91964E059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state="hidden" r:id="rId2"/>
  </sheets>
  <definedNames>
    <definedName name="_xlchart.v1.0" hidden="1">Sheet2!$C$1:$C$140</definedName>
    <definedName name="_xlchart.v1.1" hidden="1">Sheet2!$D$1:$D$140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" i="2" l="1"/>
  <c r="D1" i="2"/>
  <c r="C141" i="2"/>
  <c r="D141" i="2"/>
  <c r="C2" i="2"/>
  <c r="D2" i="2"/>
  <c r="C3" i="2"/>
  <c r="D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4" i="2"/>
  <c r="D114" i="2"/>
  <c r="C115" i="2"/>
  <c r="D115" i="2"/>
  <c r="C116" i="2"/>
  <c r="D116" i="2"/>
  <c r="C117" i="2"/>
  <c r="D117" i="2"/>
  <c r="C118" i="2"/>
  <c r="D118" i="2"/>
  <c r="C119" i="2"/>
  <c r="D119" i="2"/>
  <c r="C120" i="2"/>
  <c r="D120" i="2"/>
  <c r="C121" i="2"/>
  <c r="D121" i="2"/>
  <c r="C122" i="2"/>
  <c r="D122" i="2"/>
  <c r="C123" i="2"/>
  <c r="D123" i="2"/>
  <c r="C124" i="2"/>
  <c r="D124" i="2"/>
  <c r="C125" i="2"/>
  <c r="D125" i="2"/>
  <c r="C126" i="2"/>
  <c r="D126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4" i="2"/>
  <c r="D134" i="2"/>
  <c r="C135" i="2"/>
  <c r="D135" i="2"/>
  <c r="C136" i="2"/>
  <c r="D136" i="2"/>
  <c r="C137" i="2"/>
  <c r="D137" i="2"/>
  <c r="C138" i="2"/>
  <c r="D138" i="2"/>
  <c r="C139" i="2"/>
  <c r="D139" i="2"/>
  <c r="D140" i="2"/>
  <c r="C140" i="2"/>
  <c r="B141" i="2"/>
  <c r="B142" i="2" s="1"/>
  <c r="A142" i="2"/>
  <c r="A141" i="2"/>
  <c r="D141" i="1"/>
  <c r="D140" i="1"/>
</calcChain>
</file>

<file path=xl/sharedStrings.xml><?xml version="1.0" encoding="utf-8"?>
<sst xmlns="http://schemas.openxmlformats.org/spreadsheetml/2006/main" count="262" uniqueCount="44">
  <si>
    <t>No.</t>
  </si>
  <si>
    <t>laser power, W</t>
    <phoneticPr fontId="4" type="noConversion"/>
  </si>
  <si>
    <t>scan speed, mm/s</t>
    <phoneticPr fontId="4" type="noConversion"/>
  </si>
  <si>
    <t>volumetric energy density (VED)=P/hvt , J/mm3</t>
    <phoneticPr fontId="4" type="noConversion"/>
  </si>
  <si>
    <t>UTS, Mpa (mean)</t>
    <phoneticPr fontId="4" type="noConversion"/>
  </si>
  <si>
    <t>Elongation to fracture, % (mean)</t>
    <phoneticPr fontId="4" type="noConversion"/>
  </si>
  <si>
    <t>doi</t>
    <phoneticPr fontId="4" type="noConversion"/>
  </si>
  <si>
    <t>gas-atomized </t>
  </si>
  <si>
    <t>zig-zag</t>
    <phoneticPr fontId="4" type="noConversion"/>
  </si>
  <si>
    <t>https://doi.org/10.1016/j.msea.2019.138319</t>
  </si>
  <si>
    <t>https://doi.org/10.1016/j.msea.2018.11.130</t>
    <phoneticPr fontId="4" type="noConversion"/>
  </si>
  <si>
    <t xml:space="preserve">plasma atomised </t>
    <phoneticPr fontId="4" type="noConversion"/>
  </si>
  <si>
    <t>https://doi.org/10.1108/RPJ-02-2016-0022</t>
  </si>
  <si>
    <t>https://doi.org/10.1016/j.msea.2018.03.021</t>
    <phoneticPr fontId="4" type="noConversion"/>
  </si>
  <si>
    <t>https://doi.org/10.3390/ma10010035</t>
  </si>
  <si>
    <t>https://doi.org/10.1016/j.msea.2014.07.086</t>
  </si>
  <si>
    <t>https://doi.org/10.3390/mi13020331</t>
  </si>
  <si>
    <t>https://doi.org/10.1016/j.msea.2016.12.065</t>
  </si>
  <si>
    <t>https://doi.org/10.1007/s11661-019-05322-w</t>
    <phoneticPr fontId="3" type="noConversion"/>
  </si>
  <si>
    <t>vacuum induction gas atomization</t>
  </si>
  <si>
    <t>https://doi.org/10.3139/146.111615</t>
  </si>
  <si>
    <t>https://doi.org/10.1016/j.matchar.2017.01.014</t>
  </si>
  <si>
    <t>gas-atomized </t>
    <phoneticPr fontId="4" type="noConversion"/>
  </si>
  <si>
    <t>https://doi.org/10.1016/j.matdes.2015.12.135</t>
  </si>
  <si>
    <t>https://doi.org/10.1016/j.optlastec.2019.105890</t>
  </si>
  <si>
    <t>https://doi.org/10.1016/j.jmapro.2021.01.027</t>
  </si>
  <si>
    <t>https://link.springer.com/article/10.1007/s41230-018-8064-8</t>
    <phoneticPr fontId="4" type="noConversion"/>
  </si>
  <si>
    <t>https://doi.org/10.1016/j.jallcom.2018.02.111</t>
  </si>
  <si>
    <t>https://doi.org/10.3390/met11040534</t>
  </si>
  <si>
    <t>https://doi.org/10.1016/j.msea.2021.141815</t>
  </si>
  <si>
    <t>https://doi.org/10.1016/j.msea.2019.138456</t>
    <phoneticPr fontId="4" type="noConversion"/>
  </si>
  <si>
    <t>https://doi.org/10.1016/j.triboint.2020.106806</t>
    <phoneticPr fontId="4" type="noConversion"/>
  </si>
  <si>
    <t>https://doi.org/10.1016/j.jallcom.2019.152536</t>
  </si>
  <si>
    <t>https://doi.org/10.1016/j.addma.2024.104341</t>
  </si>
  <si>
    <t>plasma rotating electrode process</t>
  </si>
  <si>
    <t>electrode induction melting gas atomization</t>
    <phoneticPr fontId="4" type="noConversion"/>
  </si>
  <si>
    <t>Particle size</t>
    <phoneticPr fontId="3" type="noConversion"/>
  </si>
  <si>
    <t>hatch space</t>
    <phoneticPr fontId="3" type="noConversion"/>
  </si>
  <si>
    <t>Scanning method</t>
    <phoneticPr fontId="3" type="noConversion"/>
  </si>
  <si>
    <t>Rotation angle</t>
    <phoneticPr fontId="3" type="noConversion"/>
  </si>
  <si>
    <t>Layer thickness</t>
    <phoneticPr fontId="3" type="noConversion"/>
  </si>
  <si>
    <t>Spot size</t>
    <phoneticPr fontId="3" type="noConversion"/>
  </si>
  <si>
    <t>zig-zig</t>
    <phoneticPr fontId="4" type="noConversion"/>
  </si>
  <si>
    <t>Powder type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</si>
</sst>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8"/>
      <name val="等线"/>
      <family val="2"/>
      <charset val="129"/>
      <scheme val="minor"/>
    </font>
    <font>
      <u/>
      <sz val="12"/>
      <color theme="10"/>
      <name val="Times New Roman"/>
      <family val="1"/>
    </font>
    <font>
      <u/>
      <sz val="11"/>
      <color theme="10"/>
      <name val="Times New Roman"/>
      <family val="1"/>
    </font>
    <font>
      <sz val="11"/>
      <color theme="1"/>
      <name val="Times New Roman"/>
      <family val="1"/>
    </font>
    <font>
      <sz val="18.8"/>
      <color rgb="FFBCBEC4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6" fillId="0" borderId="0" xfId="1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1" applyFont="1" applyFill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Sheet2!$C$1:$C$140</c:f>
              <c:numCache>
                <c:formatCode>General</c:formatCode>
                <c:ptCount val="140"/>
                <c:pt idx="0">
                  <c:v>0.64522075767351827</c:v>
                </c:pt>
                <c:pt idx="1">
                  <c:v>0.62678587888284631</c:v>
                </c:pt>
                <c:pt idx="2">
                  <c:v>0.72817771223154204</c:v>
                </c:pt>
                <c:pt idx="3">
                  <c:v>0.81113466678956581</c:v>
                </c:pt>
                <c:pt idx="4">
                  <c:v>0.78348234860355792</c:v>
                </c:pt>
                <c:pt idx="5">
                  <c:v>0.58991612130150239</c:v>
                </c:pt>
                <c:pt idx="6">
                  <c:v>0</c:v>
                </c:pt>
                <c:pt idx="7">
                  <c:v>0.17513134851138351</c:v>
                </c:pt>
                <c:pt idx="8">
                  <c:v>0.70974283344087008</c:v>
                </c:pt>
                <c:pt idx="9">
                  <c:v>0.73739515162687796</c:v>
                </c:pt>
                <c:pt idx="10">
                  <c:v>0.73739515162687796</c:v>
                </c:pt>
                <c:pt idx="11">
                  <c:v>0.73739515162687796</c:v>
                </c:pt>
                <c:pt idx="12">
                  <c:v>0.73739515162687796</c:v>
                </c:pt>
                <c:pt idx="13">
                  <c:v>0.73739515162687796</c:v>
                </c:pt>
                <c:pt idx="14">
                  <c:v>0.72817771223154204</c:v>
                </c:pt>
                <c:pt idx="15">
                  <c:v>0.8765784864964512</c:v>
                </c:pt>
                <c:pt idx="16">
                  <c:v>0.72356899253387408</c:v>
                </c:pt>
                <c:pt idx="17">
                  <c:v>0.56042031523642732</c:v>
                </c:pt>
                <c:pt idx="18">
                  <c:v>0.81850861830583455</c:v>
                </c:pt>
                <c:pt idx="19">
                  <c:v>0.73647340768734437</c:v>
                </c:pt>
                <c:pt idx="20">
                  <c:v>0.78348234860355792</c:v>
                </c:pt>
                <c:pt idx="21">
                  <c:v>0.76504746981288596</c:v>
                </c:pt>
                <c:pt idx="22">
                  <c:v>0.73739515162687796</c:v>
                </c:pt>
                <c:pt idx="23">
                  <c:v>0.78348234860355792</c:v>
                </c:pt>
                <c:pt idx="24">
                  <c:v>0.55304636372015847</c:v>
                </c:pt>
                <c:pt idx="25">
                  <c:v>0.59913356069683832</c:v>
                </c:pt>
                <c:pt idx="26">
                  <c:v>0.73739515162687796</c:v>
                </c:pt>
                <c:pt idx="27">
                  <c:v>0.55304636372015847</c:v>
                </c:pt>
                <c:pt idx="28">
                  <c:v>0.64522075767351827</c:v>
                </c:pt>
                <c:pt idx="29">
                  <c:v>0.78348234860355792</c:v>
                </c:pt>
                <c:pt idx="30">
                  <c:v>0.87565674255691761</c:v>
                </c:pt>
                <c:pt idx="31">
                  <c:v>0.47008940916213471</c:v>
                </c:pt>
                <c:pt idx="32">
                  <c:v>0.41478477279011888</c:v>
                </c:pt>
                <c:pt idx="33">
                  <c:v>0.81113466678956581</c:v>
                </c:pt>
                <c:pt idx="34">
                  <c:v>0.9033090607429255</c:v>
                </c:pt>
                <c:pt idx="35">
                  <c:v>0.8636740713429808</c:v>
                </c:pt>
                <c:pt idx="36">
                  <c:v>0.79269978799889385</c:v>
                </c:pt>
                <c:pt idx="37">
                  <c:v>0.88579592589178724</c:v>
                </c:pt>
                <c:pt idx="38">
                  <c:v>0.82956954558023777</c:v>
                </c:pt>
                <c:pt idx="39">
                  <c:v>0.73739515162687796</c:v>
                </c:pt>
                <c:pt idx="40">
                  <c:v>0.6931514425292653</c:v>
                </c:pt>
                <c:pt idx="41">
                  <c:v>0.718960272836206</c:v>
                </c:pt>
                <c:pt idx="42">
                  <c:v>0.71619504101760523</c:v>
                </c:pt>
                <c:pt idx="43">
                  <c:v>0.55304636372015847</c:v>
                </c:pt>
                <c:pt idx="44">
                  <c:v>0.69130795465019812</c:v>
                </c:pt>
                <c:pt idx="45">
                  <c:v>0.77795188496635626</c:v>
                </c:pt>
                <c:pt idx="46">
                  <c:v>0.77518665314775548</c:v>
                </c:pt>
                <c:pt idx="47">
                  <c:v>0.7862475804221587</c:v>
                </c:pt>
                <c:pt idx="48">
                  <c:v>0.78348234860355792</c:v>
                </c:pt>
                <c:pt idx="49">
                  <c:v>0.80007373951516259</c:v>
                </c:pt>
                <c:pt idx="50">
                  <c:v>0.78532583648262511</c:v>
                </c:pt>
                <c:pt idx="51">
                  <c:v>0.78993455618029307</c:v>
                </c:pt>
                <c:pt idx="52">
                  <c:v>0.82680431376163699</c:v>
                </c:pt>
                <c:pt idx="53">
                  <c:v>0.81113466678956581</c:v>
                </c:pt>
                <c:pt idx="54">
                  <c:v>0.81113466678956581</c:v>
                </c:pt>
                <c:pt idx="55">
                  <c:v>0.77795188496635626</c:v>
                </c:pt>
                <c:pt idx="56">
                  <c:v>0.75122131071988196</c:v>
                </c:pt>
                <c:pt idx="57">
                  <c:v>0.68854272283159734</c:v>
                </c:pt>
                <c:pt idx="58">
                  <c:v>0.718960272836206</c:v>
                </c:pt>
                <c:pt idx="59">
                  <c:v>0.89501336528712316</c:v>
                </c:pt>
                <c:pt idx="60">
                  <c:v>0.81758687436630095</c:v>
                </c:pt>
                <c:pt idx="61">
                  <c:v>0.7982302516360954</c:v>
                </c:pt>
                <c:pt idx="62">
                  <c:v>0.78901281224075948</c:v>
                </c:pt>
                <c:pt idx="63">
                  <c:v>0.78348234860355792</c:v>
                </c:pt>
                <c:pt idx="64">
                  <c:v>0.72541248041294126</c:v>
                </c:pt>
                <c:pt idx="65">
                  <c:v>0.60374228039450639</c:v>
                </c:pt>
                <c:pt idx="66">
                  <c:v>0.83878698497557369</c:v>
                </c:pt>
                <c:pt idx="67">
                  <c:v>0.77361968845054829</c:v>
                </c:pt>
                <c:pt idx="68">
                  <c:v>0.76320398193381878</c:v>
                </c:pt>
                <c:pt idx="69">
                  <c:v>0.59175960918056958</c:v>
                </c:pt>
                <c:pt idx="70">
                  <c:v>0.67656005161766053</c:v>
                </c:pt>
                <c:pt idx="71">
                  <c:v>1</c:v>
                </c:pt>
                <c:pt idx="72">
                  <c:v>0.81445294497188669</c:v>
                </c:pt>
                <c:pt idx="73">
                  <c:v>0.73804037238455156</c:v>
                </c:pt>
                <c:pt idx="74">
                  <c:v>0.79647893815098147</c:v>
                </c:pt>
                <c:pt idx="75">
                  <c:v>0.83473131164162584</c:v>
                </c:pt>
                <c:pt idx="76">
                  <c:v>0.77601622269333581</c:v>
                </c:pt>
                <c:pt idx="77">
                  <c:v>0.54382892432482255</c:v>
                </c:pt>
                <c:pt idx="78">
                  <c:v>0.44059360309705958</c:v>
                </c:pt>
                <c:pt idx="79">
                  <c:v>0.58715088948290162</c:v>
                </c:pt>
                <c:pt idx="80">
                  <c:v>0.36316711217623743</c:v>
                </c:pt>
                <c:pt idx="81">
                  <c:v>0.49497649552954187</c:v>
                </c:pt>
                <c:pt idx="82">
                  <c:v>0.42953267582265642</c:v>
                </c:pt>
                <c:pt idx="83">
                  <c:v>0.41017605309245087</c:v>
                </c:pt>
                <c:pt idx="84">
                  <c:v>0.50880265462254581</c:v>
                </c:pt>
                <c:pt idx="85">
                  <c:v>0.49681998340860906</c:v>
                </c:pt>
                <c:pt idx="86">
                  <c:v>0.48022859249700428</c:v>
                </c:pt>
                <c:pt idx="87">
                  <c:v>0.38068024702737574</c:v>
                </c:pt>
                <c:pt idx="88">
                  <c:v>0.5235505576550834</c:v>
                </c:pt>
                <c:pt idx="89">
                  <c:v>0.46548068946446675</c:v>
                </c:pt>
                <c:pt idx="90">
                  <c:v>0.41349433127477186</c:v>
                </c:pt>
                <c:pt idx="91">
                  <c:v>0.510646142501613</c:v>
                </c:pt>
                <c:pt idx="92">
                  <c:v>0.59028481887731588</c:v>
                </c:pt>
                <c:pt idx="93">
                  <c:v>0.52484099917043037</c:v>
                </c:pt>
                <c:pt idx="94">
                  <c:v>0.52060097704857577</c:v>
                </c:pt>
                <c:pt idx="95">
                  <c:v>0.63705434099614699</c:v>
                </c:pt>
                <c:pt idx="96">
                  <c:v>0.59544658493870395</c:v>
                </c:pt>
                <c:pt idx="97">
                  <c:v>0.63104397789646971</c:v>
                </c:pt>
                <c:pt idx="98">
                  <c:v>0.65517559222048105</c:v>
                </c:pt>
                <c:pt idx="99">
                  <c:v>0.56668817402525573</c:v>
                </c:pt>
                <c:pt idx="100">
                  <c:v>0.62342773963602172</c:v>
                </c:pt>
                <c:pt idx="101">
                  <c:v>0.60447967554613324</c:v>
                </c:pt>
                <c:pt idx="102">
                  <c:v>0.55581159553875925</c:v>
                </c:pt>
                <c:pt idx="103">
                  <c:v>0.65720342888745498</c:v>
                </c:pt>
                <c:pt idx="104">
                  <c:v>0.59083786524103599</c:v>
                </c:pt>
                <c:pt idx="105">
                  <c:v>0.57221863766245729</c:v>
                </c:pt>
                <c:pt idx="106">
                  <c:v>0.56064226491687708</c:v>
                </c:pt>
                <c:pt idx="107">
                  <c:v>0.54544708966561162</c:v>
                </c:pt>
                <c:pt idx="108">
                  <c:v>0.56135697433828924</c:v>
                </c:pt>
                <c:pt idx="109">
                  <c:v>0.54804016317983406</c:v>
                </c:pt>
                <c:pt idx="110">
                  <c:v>0.53661923021485014</c:v>
                </c:pt>
                <c:pt idx="111">
                  <c:v>0.58803265351827805</c:v>
                </c:pt>
                <c:pt idx="112">
                  <c:v>0.60153009493962561</c:v>
                </c:pt>
                <c:pt idx="113">
                  <c:v>0.6062770762282238</c:v>
                </c:pt>
                <c:pt idx="114">
                  <c:v>0.61762878351234207</c:v>
                </c:pt>
                <c:pt idx="115">
                  <c:v>0.62785685476994191</c:v>
                </c:pt>
                <c:pt idx="116">
                  <c:v>0.56595077887362888</c:v>
                </c:pt>
                <c:pt idx="117">
                  <c:v>0.6214397640335515</c:v>
                </c:pt>
                <c:pt idx="118">
                  <c:v>0.55415245644759881</c:v>
                </c:pt>
                <c:pt idx="119">
                  <c:v>0.62567978615540598</c:v>
                </c:pt>
                <c:pt idx="120">
                  <c:v>0.55512242697859704</c:v>
                </c:pt>
                <c:pt idx="121">
                  <c:v>0.58844133099824869</c:v>
                </c:pt>
                <c:pt idx="122">
                  <c:v>0.55156763619392291</c:v>
                </c:pt>
                <c:pt idx="123">
                  <c:v>0.62180846160936476</c:v>
                </c:pt>
                <c:pt idx="124">
                  <c:v>0.54867247633364169</c:v>
                </c:pt>
                <c:pt idx="125">
                  <c:v>0.58622914554336802</c:v>
                </c:pt>
                <c:pt idx="126">
                  <c:v>0.6028205364549728</c:v>
                </c:pt>
                <c:pt idx="127">
                  <c:v>0.60355793160659954</c:v>
                </c:pt>
                <c:pt idx="128">
                  <c:v>0.51640704212369803</c:v>
                </c:pt>
                <c:pt idx="129">
                  <c:v>0.58738132546778499</c:v>
                </c:pt>
                <c:pt idx="130">
                  <c:v>0.56724122038897584</c:v>
                </c:pt>
                <c:pt idx="131">
                  <c:v>0.58346391372476725</c:v>
                </c:pt>
                <c:pt idx="132">
                  <c:v>0.76510277444925789</c:v>
                </c:pt>
                <c:pt idx="133">
                  <c:v>0.77650474698128857</c:v>
                </c:pt>
                <c:pt idx="134">
                  <c:v>0.77502073923863934</c:v>
                </c:pt>
                <c:pt idx="135">
                  <c:v>0.73923863950594515</c:v>
                </c:pt>
                <c:pt idx="136">
                  <c:v>0.61295971978984232</c:v>
                </c:pt>
                <c:pt idx="137">
                  <c:v>0.50511567886441144</c:v>
                </c:pt>
                <c:pt idx="138">
                  <c:v>0.6431781046160765</c:v>
                </c:pt>
                <c:pt idx="139">
                  <c:v>0.66270656779302162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55-4392-8873-7255A509B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974703"/>
        <c:axId val="840975119"/>
      </c:scatterChart>
      <c:valAx>
        <c:axId val="84097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0975119"/>
        <c:crosses val="autoZero"/>
        <c:crossBetween val="midCat"/>
      </c:valAx>
      <c:valAx>
        <c:axId val="84097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0974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1265577096980522E-2"/>
          <c:y val="0.11902954711742943"/>
          <c:w val="0.87755796150481191"/>
          <c:h val="0.712206911636045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Sheet2!$D$1:$D$140</c:f>
              <c:numCache>
                <c:formatCode>General</c:formatCode>
                <c:ptCount val="140"/>
                <c:pt idx="0">
                  <c:v>0.68966005665722385</c:v>
                </c:pt>
                <c:pt idx="1">
                  <c:v>0.17974504249291784</c:v>
                </c:pt>
                <c:pt idx="2">
                  <c:v>0.1584985835694051</c:v>
                </c:pt>
                <c:pt idx="3">
                  <c:v>0.24348441926345613</c:v>
                </c:pt>
                <c:pt idx="4">
                  <c:v>0.17974504249291784</c:v>
                </c:pt>
                <c:pt idx="5">
                  <c:v>0.13725212464589237</c:v>
                </c:pt>
                <c:pt idx="6">
                  <c:v>5.2266288951841364E-2</c:v>
                </c:pt>
                <c:pt idx="7">
                  <c:v>5.2266288951841364E-2</c:v>
                </c:pt>
                <c:pt idx="8">
                  <c:v>0.65424929178470259</c:v>
                </c:pt>
                <c:pt idx="9">
                  <c:v>0.4205382436260624</c:v>
                </c:pt>
                <c:pt idx="10">
                  <c:v>0.31430594900849862</c:v>
                </c:pt>
                <c:pt idx="11">
                  <c:v>0.3355524079320113</c:v>
                </c:pt>
                <c:pt idx="12">
                  <c:v>0.6046742209631728</c:v>
                </c:pt>
                <c:pt idx="13">
                  <c:v>0.64008498583569406</c:v>
                </c:pt>
                <c:pt idx="14">
                  <c:v>0.39220963172804535</c:v>
                </c:pt>
                <c:pt idx="15">
                  <c:v>0.13371104815864024</c:v>
                </c:pt>
                <c:pt idx="16">
                  <c:v>0.35679886685552414</c:v>
                </c:pt>
                <c:pt idx="17">
                  <c:v>0.75339943342776206</c:v>
                </c:pt>
                <c:pt idx="18">
                  <c:v>0.36600566572237958</c:v>
                </c:pt>
                <c:pt idx="19">
                  <c:v>0.44886685552407929</c:v>
                </c:pt>
                <c:pt idx="20">
                  <c:v>0.30014164305949009</c:v>
                </c:pt>
                <c:pt idx="21">
                  <c:v>0.35679886685552414</c:v>
                </c:pt>
                <c:pt idx="22">
                  <c:v>0.46303116147308787</c:v>
                </c:pt>
                <c:pt idx="23">
                  <c:v>0.29305949008498583</c:v>
                </c:pt>
                <c:pt idx="24">
                  <c:v>0.47719546742209629</c:v>
                </c:pt>
                <c:pt idx="25">
                  <c:v>0.56218130311614722</c:v>
                </c:pt>
                <c:pt idx="26">
                  <c:v>0.30864022662889523</c:v>
                </c:pt>
                <c:pt idx="27">
                  <c:v>0.17266288951841363</c:v>
                </c:pt>
                <c:pt idx="28">
                  <c:v>0.2151558073654391</c:v>
                </c:pt>
                <c:pt idx="29">
                  <c:v>0.25056657223796036</c:v>
                </c:pt>
                <c:pt idx="30">
                  <c:v>0.2718130311614731</c:v>
                </c:pt>
                <c:pt idx="31">
                  <c:v>0.5409348441926346</c:v>
                </c:pt>
                <c:pt idx="32">
                  <c:v>0.55509915014164302</c:v>
                </c:pt>
                <c:pt idx="33">
                  <c:v>0.30014164305949009</c:v>
                </c:pt>
                <c:pt idx="34">
                  <c:v>0.40283286118980177</c:v>
                </c:pt>
                <c:pt idx="35">
                  <c:v>0.34900849858356947</c:v>
                </c:pt>
                <c:pt idx="36">
                  <c:v>0.19390934844192637</c:v>
                </c:pt>
                <c:pt idx="37">
                  <c:v>0.10892351274787535</c:v>
                </c:pt>
                <c:pt idx="38">
                  <c:v>0.39929178470254961</c:v>
                </c:pt>
                <c:pt idx="39">
                  <c:v>0.58342776203966007</c:v>
                </c:pt>
                <c:pt idx="40">
                  <c:v>0.34263456090651556</c:v>
                </c:pt>
                <c:pt idx="41">
                  <c:v>0.59050991501416428</c:v>
                </c:pt>
                <c:pt idx="42">
                  <c:v>5.2266288951841364E-2</c:v>
                </c:pt>
                <c:pt idx="43">
                  <c:v>0.5409348441926346</c:v>
                </c:pt>
                <c:pt idx="44">
                  <c:v>0.90212464589235131</c:v>
                </c:pt>
                <c:pt idx="45">
                  <c:v>0.30014164305949009</c:v>
                </c:pt>
                <c:pt idx="46">
                  <c:v>0.37096317280453256</c:v>
                </c:pt>
                <c:pt idx="47">
                  <c:v>0.47719546742209629</c:v>
                </c:pt>
                <c:pt idx="48">
                  <c:v>0.47719546742209629</c:v>
                </c:pt>
                <c:pt idx="49">
                  <c:v>0.26473087818696883</c:v>
                </c:pt>
                <c:pt idx="50">
                  <c:v>0.3355524079320113</c:v>
                </c:pt>
                <c:pt idx="51">
                  <c:v>0.49844192634560913</c:v>
                </c:pt>
                <c:pt idx="52">
                  <c:v>1.6855524079320113E-2</c:v>
                </c:pt>
                <c:pt idx="53">
                  <c:v>0.1584985835694051</c:v>
                </c:pt>
                <c:pt idx="54">
                  <c:v>0.19390934844192637</c:v>
                </c:pt>
                <c:pt idx="55">
                  <c:v>0.30014164305949009</c:v>
                </c:pt>
                <c:pt idx="56">
                  <c:v>0.74631728045325785</c:v>
                </c:pt>
                <c:pt idx="57">
                  <c:v>0.55509915014164302</c:v>
                </c:pt>
                <c:pt idx="58">
                  <c:v>0.12308781869688386</c:v>
                </c:pt>
                <c:pt idx="59">
                  <c:v>0.42762039660056661</c:v>
                </c:pt>
                <c:pt idx="60">
                  <c:v>0.62592067988668554</c:v>
                </c:pt>
                <c:pt idx="61">
                  <c:v>0.61883852691218133</c:v>
                </c:pt>
                <c:pt idx="62">
                  <c:v>0.67549575070821533</c:v>
                </c:pt>
                <c:pt idx="63">
                  <c:v>0.57634560906515586</c:v>
                </c:pt>
                <c:pt idx="64">
                  <c:v>0.39929178470254961</c:v>
                </c:pt>
                <c:pt idx="65">
                  <c:v>0.17266288951841363</c:v>
                </c:pt>
                <c:pt idx="66">
                  <c:v>0.29305949008498583</c:v>
                </c:pt>
                <c:pt idx="67">
                  <c:v>0.19390934844192637</c:v>
                </c:pt>
                <c:pt idx="68">
                  <c:v>0.51260623229461755</c:v>
                </c:pt>
                <c:pt idx="69">
                  <c:v>0.48427762039660055</c:v>
                </c:pt>
                <c:pt idx="70">
                  <c:v>0.46303116147308787</c:v>
                </c:pt>
                <c:pt idx="71">
                  <c:v>9.475920679886686E-2</c:v>
                </c:pt>
                <c:pt idx="72">
                  <c:v>0.2718130311614731</c:v>
                </c:pt>
                <c:pt idx="73">
                  <c:v>0.32847025495750709</c:v>
                </c:pt>
                <c:pt idx="74">
                  <c:v>0.47719546742209629</c:v>
                </c:pt>
                <c:pt idx="75">
                  <c:v>2.393767705382437E-2</c:v>
                </c:pt>
                <c:pt idx="76">
                  <c:v>8.0594900849858347E-2</c:v>
                </c:pt>
                <c:pt idx="77">
                  <c:v>0.63300283286118975</c:v>
                </c:pt>
                <c:pt idx="78">
                  <c:v>0.4205382436260624</c:v>
                </c:pt>
                <c:pt idx="79">
                  <c:v>0.4205382436260624</c:v>
                </c:pt>
                <c:pt idx="80">
                  <c:v>0.39220963172804535</c:v>
                </c:pt>
                <c:pt idx="81">
                  <c:v>0.47011331444759208</c:v>
                </c:pt>
                <c:pt idx="82">
                  <c:v>0.41345609065155803</c:v>
                </c:pt>
                <c:pt idx="83">
                  <c:v>0.47719546742209629</c:v>
                </c:pt>
                <c:pt idx="84">
                  <c:v>0.39220963172804535</c:v>
                </c:pt>
                <c:pt idx="85">
                  <c:v>0.49135977337110476</c:v>
                </c:pt>
                <c:pt idx="86">
                  <c:v>0.42762039660056661</c:v>
                </c:pt>
                <c:pt idx="87">
                  <c:v>0.43470254957507082</c:v>
                </c:pt>
                <c:pt idx="88">
                  <c:v>0.52677053824362596</c:v>
                </c:pt>
                <c:pt idx="89">
                  <c:v>0.43470254957507082</c:v>
                </c:pt>
                <c:pt idx="90">
                  <c:v>0</c:v>
                </c:pt>
                <c:pt idx="91">
                  <c:v>0.22053824362606236</c:v>
                </c:pt>
                <c:pt idx="92">
                  <c:v>0.12662889518413598</c:v>
                </c:pt>
                <c:pt idx="93">
                  <c:v>0.44684277620396601</c:v>
                </c:pt>
                <c:pt idx="94">
                  <c:v>0.27202549575070822</c:v>
                </c:pt>
                <c:pt idx="95">
                  <c:v>0.78776912181303127</c:v>
                </c:pt>
                <c:pt idx="96">
                  <c:v>0.5162889518413597</c:v>
                </c:pt>
                <c:pt idx="97">
                  <c:v>0.79810906515580737</c:v>
                </c:pt>
                <c:pt idx="98">
                  <c:v>0.91770538243626065</c:v>
                </c:pt>
                <c:pt idx="99">
                  <c:v>0.47916288951841357</c:v>
                </c:pt>
                <c:pt idx="100">
                  <c:v>0.81830311614730877</c:v>
                </c:pt>
                <c:pt idx="101">
                  <c:v>0.7506983002832861</c:v>
                </c:pt>
                <c:pt idx="102">
                  <c:v>0.46247308781869689</c:v>
                </c:pt>
                <c:pt idx="103">
                  <c:v>1</c:v>
                </c:pt>
                <c:pt idx="104">
                  <c:v>0.66916855524079322</c:v>
                </c:pt>
                <c:pt idx="105">
                  <c:v>0.6681983002832862</c:v>
                </c:pt>
                <c:pt idx="106">
                  <c:v>0.56176487252124641</c:v>
                </c:pt>
                <c:pt idx="107">
                  <c:v>0.54686260623229466</c:v>
                </c:pt>
                <c:pt idx="108">
                  <c:v>0.51242032577903684</c:v>
                </c:pt>
                <c:pt idx="109">
                  <c:v>0.42233286118980173</c:v>
                </c:pt>
                <c:pt idx="110">
                  <c:v>0.40286827195467423</c:v>
                </c:pt>
                <c:pt idx="111">
                  <c:v>0.67244192634560906</c:v>
                </c:pt>
                <c:pt idx="112">
                  <c:v>0.75112039660056662</c:v>
                </c:pt>
                <c:pt idx="113">
                  <c:v>0.7855046033994334</c:v>
                </c:pt>
                <c:pt idx="114">
                  <c:v>0.90423654390934849</c:v>
                </c:pt>
                <c:pt idx="115">
                  <c:v>0.89545467422096325</c:v>
                </c:pt>
                <c:pt idx="116">
                  <c:v>0.56795609065155805</c:v>
                </c:pt>
                <c:pt idx="117">
                  <c:v>0.8641643059490085</c:v>
                </c:pt>
                <c:pt idx="118">
                  <c:v>0.5976742209631728</c:v>
                </c:pt>
                <c:pt idx="119">
                  <c:v>0.74405099150141651</c:v>
                </c:pt>
                <c:pt idx="120">
                  <c:v>0.5710467422096317</c:v>
                </c:pt>
                <c:pt idx="121">
                  <c:v>0.79277620396600568</c:v>
                </c:pt>
                <c:pt idx="122">
                  <c:v>0.57070963172804534</c:v>
                </c:pt>
                <c:pt idx="123">
                  <c:v>0.90821529745042495</c:v>
                </c:pt>
                <c:pt idx="124">
                  <c:v>0.56186968838526918</c:v>
                </c:pt>
                <c:pt idx="125">
                  <c:v>0.78835269121813034</c:v>
                </c:pt>
                <c:pt idx="126">
                  <c:v>0.87256373937677045</c:v>
                </c:pt>
                <c:pt idx="127">
                  <c:v>0.79557648725212471</c:v>
                </c:pt>
                <c:pt idx="128">
                  <c:v>0.12344192634560906</c:v>
                </c:pt>
                <c:pt idx="129">
                  <c:v>0.46894475920679884</c:v>
                </c:pt>
                <c:pt idx="130">
                  <c:v>0.22691218130311616</c:v>
                </c:pt>
                <c:pt idx="131">
                  <c:v>0.67614022662889528</c:v>
                </c:pt>
                <c:pt idx="132">
                  <c:v>0.44178470254957508</c:v>
                </c:pt>
                <c:pt idx="133">
                  <c:v>0.43611898016997164</c:v>
                </c:pt>
                <c:pt idx="134">
                  <c:v>0.4651558073654391</c:v>
                </c:pt>
                <c:pt idx="135">
                  <c:v>0.96019830028328612</c:v>
                </c:pt>
                <c:pt idx="136">
                  <c:v>0.3355524079320113</c:v>
                </c:pt>
                <c:pt idx="137">
                  <c:v>0.47719546742209629</c:v>
                </c:pt>
                <c:pt idx="138">
                  <c:v>0.63590651558073652</c:v>
                </c:pt>
                <c:pt idx="139">
                  <c:v>0.6243814919735623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A4-40A3-A7CD-C29CBBE1A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248479"/>
        <c:axId val="836247231"/>
      </c:scatterChart>
      <c:valAx>
        <c:axId val="83624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6247231"/>
        <c:crosses val="autoZero"/>
        <c:crossBetween val="midCat"/>
      </c:valAx>
      <c:valAx>
        <c:axId val="83624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6248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0A78B890-8815-4AEC-BFC4-D86645610FA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A8D47D00-E129-4D98-8980-55D8F456A936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574221</xdr:colOff>
      <xdr:row>0</xdr:row>
      <xdr:rowOff>81643</xdr:rowOff>
    </xdr:from>
    <xdr:to>
      <xdr:col>12</xdr:col>
      <xdr:colOff>345621</xdr:colOff>
      <xdr:row>14</xdr:row>
      <xdr:rowOff>5443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D41DE87-63B7-40C9-8B26-88D848B60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547006</xdr:colOff>
      <xdr:row>1</xdr:row>
      <xdr:rowOff>73480</xdr:rowOff>
    </xdr:from>
    <xdr:to>
      <xdr:col>19</xdr:col>
      <xdr:colOff>318406</xdr:colOff>
      <xdr:row>14</xdr:row>
      <xdr:rowOff>198666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17F193C-A0B6-4E49-BE4E-81E6001BD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399317</xdr:colOff>
      <xdr:row>122</xdr:row>
      <xdr:rowOff>178043</xdr:rowOff>
    </xdr:from>
    <xdr:to>
      <xdr:col>13</xdr:col>
      <xdr:colOff>150202</xdr:colOff>
      <xdr:row>136</xdr:row>
      <xdr:rowOff>151666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图表 3">
              <a:extLst>
                <a:ext uri="{FF2B5EF4-FFF2-40B4-BE49-F238E27FC236}">
                  <a16:creationId xmlns:a16="http://schemas.microsoft.com/office/drawing/2014/main" id="{2EA4B2F7-24FB-4734-81EA-8EFF8B9425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14117" y="24581093"/>
              <a:ext cx="4551485" cy="27739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5</xdr:col>
      <xdr:colOff>450606</xdr:colOff>
      <xdr:row>103</xdr:row>
      <xdr:rowOff>82794</xdr:rowOff>
    </xdr:from>
    <xdr:to>
      <xdr:col>12</xdr:col>
      <xdr:colOff>201491</xdr:colOff>
      <xdr:row>117</xdr:row>
      <xdr:rowOff>56417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图表 4">
              <a:extLst>
                <a:ext uri="{FF2B5EF4-FFF2-40B4-BE49-F238E27FC236}">
                  <a16:creationId xmlns:a16="http://schemas.microsoft.com/office/drawing/2014/main" id="{578693EE-C4E0-421B-AEBA-046EEEF219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79606" y="20685369"/>
              <a:ext cx="4551485" cy="27739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16/j.addma.2024.104341" TargetMode="External"/><Relationship Id="rId21" Type="http://schemas.openxmlformats.org/officeDocument/2006/relationships/hyperlink" Target="https://doi.org/10.3390/mi13020331" TargetMode="External"/><Relationship Id="rId42" Type="http://schemas.openxmlformats.org/officeDocument/2006/relationships/hyperlink" Target="https://doi.org/10.1016/j.msea.2019.138456" TargetMode="External"/><Relationship Id="rId63" Type="http://schemas.openxmlformats.org/officeDocument/2006/relationships/hyperlink" Target="https://doi.org/10.1016/j.addma.2024.104341" TargetMode="External"/><Relationship Id="rId84" Type="http://schemas.openxmlformats.org/officeDocument/2006/relationships/hyperlink" Target="https://doi.org/10.1016/j.addma.2024.104341" TargetMode="External"/><Relationship Id="rId138" Type="http://schemas.openxmlformats.org/officeDocument/2006/relationships/hyperlink" Target="https://doi.org/10.1016/j.addma.2024.104341" TargetMode="External"/><Relationship Id="rId16" Type="http://schemas.openxmlformats.org/officeDocument/2006/relationships/hyperlink" Target="https://doi.org/10.1016/j.msea.2018.11.130" TargetMode="External"/><Relationship Id="rId107" Type="http://schemas.openxmlformats.org/officeDocument/2006/relationships/hyperlink" Target="https://doi.org/10.1016/j.addma.2024.104341" TargetMode="External"/><Relationship Id="rId11" Type="http://schemas.openxmlformats.org/officeDocument/2006/relationships/hyperlink" Target="https://doi.org/10.1016/j.msea.2019.138319" TargetMode="External"/><Relationship Id="rId32" Type="http://schemas.openxmlformats.org/officeDocument/2006/relationships/hyperlink" Target="https://doi.org/10.1016/j.msea.2018.03.021" TargetMode="External"/><Relationship Id="rId37" Type="http://schemas.openxmlformats.org/officeDocument/2006/relationships/hyperlink" Target="https://doi.org/10.1016/j.jmapro.2021.01.027" TargetMode="External"/><Relationship Id="rId53" Type="http://schemas.openxmlformats.org/officeDocument/2006/relationships/hyperlink" Target="https://doi.org/10.1016/j.jallcom.2019.152536" TargetMode="External"/><Relationship Id="rId58" Type="http://schemas.openxmlformats.org/officeDocument/2006/relationships/hyperlink" Target="https://doi.org/10.1016/j.addma.2024.104341" TargetMode="External"/><Relationship Id="rId74" Type="http://schemas.openxmlformats.org/officeDocument/2006/relationships/hyperlink" Target="https://doi.org/10.1016/j.addma.2024.104341" TargetMode="External"/><Relationship Id="rId79" Type="http://schemas.openxmlformats.org/officeDocument/2006/relationships/hyperlink" Target="https://doi.org/10.1016/j.addma.2024.104341" TargetMode="External"/><Relationship Id="rId102" Type="http://schemas.openxmlformats.org/officeDocument/2006/relationships/hyperlink" Target="https://doi.org/10.1016/j.addma.2024.104341" TargetMode="External"/><Relationship Id="rId123" Type="http://schemas.openxmlformats.org/officeDocument/2006/relationships/hyperlink" Target="https://doi.org/10.1016/j.addma.2024.104341" TargetMode="External"/><Relationship Id="rId128" Type="http://schemas.openxmlformats.org/officeDocument/2006/relationships/hyperlink" Target="https://doi.org/10.1016/j.addma.2024.104341" TargetMode="External"/><Relationship Id="rId5" Type="http://schemas.openxmlformats.org/officeDocument/2006/relationships/hyperlink" Target="https://doi.org/10.1016/j.msea.2018.11.130" TargetMode="External"/><Relationship Id="rId90" Type="http://schemas.openxmlformats.org/officeDocument/2006/relationships/hyperlink" Target="https://doi.org/10.1016/j.addma.2024.104341" TargetMode="External"/><Relationship Id="rId95" Type="http://schemas.openxmlformats.org/officeDocument/2006/relationships/hyperlink" Target="https://doi.org/10.1016/j.addma.2024.104341" TargetMode="External"/><Relationship Id="rId22" Type="http://schemas.openxmlformats.org/officeDocument/2006/relationships/hyperlink" Target="https://doi.org/10.3390/mi13020331" TargetMode="External"/><Relationship Id="rId27" Type="http://schemas.openxmlformats.org/officeDocument/2006/relationships/hyperlink" Target="https://doi.org/10.1016/j.matchar.2017.01.014" TargetMode="External"/><Relationship Id="rId43" Type="http://schemas.openxmlformats.org/officeDocument/2006/relationships/hyperlink" Target="https://doi.org/10.1016/j.triboint.2020.106806" TargetMode="External"/><Relationship Id="rId48" Type="http://schemas.openxmlformats.org/officeDocument/2006/relationships/hyperlink" Target="https://doi.org/10.1016/j.jallcom.2019.152536" TargetMode="External"/><Relationship Id="rId64" Type="http://schemas.openxmlformats.org/officeDocument/2006/relationships/hyperlink" Target="https://doi.org/10.1016/j.addma.2024.104341" TargetMode="External"/><Relationship Id="rId69" Type="http://schemas.openxmlformats.org/officeDocument/2006/relationships/hyperlink" Target="https://doi.org/10.1016/j.addma.2024.104341" TargetMode="External"/><Relationship Id="rId113" Type="http://schemas.openxmlformats.org/officeDocument/2006/relationships/hyperlink" Target="https://doi.org/10.1016/j.addma.2024.104341" TargetMode="External"/><Relationship Id="rId118" Type="http://schemas.openxmlformats.org/officeDocument/2006/relationships/hyperlink" Target="https://doi.org/10.1016/j.addma.2024.104341" TargetMode="External"/><Relationship Id="rId134" Type="http://schemas.openxmlformats.org/officeDocument/2006/relationships/hyperlink" Target="https://doi.org/10.1016/j.addma.2024.104341" TargetMode="External"/><Relationship Id="rId139" Type="http://schemas.openxmlformats.org/officeDocument/2006/relationships/printerSettings" Target="../printerSettings/printerSettings1.bin"/><Relationship Id="rId80" Type="http://schemas.openxmlformats.org/officeDocument/2006/relationships/hyperlink" Target="https://doi.org/10.1016/j.addma.2024.104341" TargetMode="External"/><Relationship Id="rId85" Type="http://schemas.openxmlformats.org/officeDocument/2006/relationships/hyperlink" Target="https://doi.org/10.1016/j.addma.2024.104341" TargetMode="External"/><Relationship Id="rId12" Type="http://schemas.openxmlformats.org/officeDocument/2006/relationships/hyperlink" Target="https://doi.org/10.1016/j.msea.2019.138319" TargetMode="External"/><Relationship Id="rId17" Type="http://schemas.openxmlformats.org/officeDocument/2006/relationships/hyperlink" Target="https://doi.org/10.1016/j.msea.2018.03.021" TargetMode="External"/><Relationship Id="rId33" Type="http://schemas.openxmlformats.org/officeDocument/2006/relationships/hyperlink" Target="https://doi.org/10.1016/j.matdes.2015.12.135" TargetMode="External"/><Relationship Id="rId38" Type="http://schemas.openxmlformats.org/officeDocument/2006/relationships/hyperlink" Target="https://doi.org/10.1016/j.jallcom.2018.02.111" TargetMode="External"/><Relationship Id="rId59" Type="http://schemas.openxmlformats.org/officeDocument/2006/relationships/hyperlink" Target="https://doi.org/10.1016/j.addma.2024.104341" TargetMode="External"/><Relationship Id="rId103" Type="http://schemas.openxmlformats.org/officeDocument/2006/relationships/hyperlink" Target="https://doi.org/10.1016/j.addma.2024.104341" TargetMode="External"/><Relationship Id="rId108" Type="http://schemas.openxmlformats.org/officeDocument/2006/relationships/hyperlink" Target="https://doi.org/10.1016/j.addma.2024.104341" TargetMode="External"/><Relationship Id="rId124" Type="http://schemas.openxmlformats.org/officeDocument/2006/relationships/hyperlink" Target="https://doi.org/10.1016/j.addma.2024.104341" TargetMode="External"/><Relationship Id="rId129" Type="http://schemas.openxmlformats.org/officeDocument/2006/relationships/hyperlink" Target="https://doi.org/10.1016/j.addma.2024.104341" TargetMode="External"/><Relationship Id="rId54" Type="http://schemas.openxmlformats.org/officeDocument/2006/relationships/hyperlink" Target="https://doi.org/10.1016/j.jallcom.2019.152536" TargetMode="External"/><Relationship Id="rId70" Type="http://schemas.openxmlformats.org/officeDocument/2006/relationships/hyperlink" Target="https://doi.org/10.1016/j.addma.2024.104341" TargetMode="External"/><Relationship Id="rId75" Type="http://schemas.openxmlformats.org/officeDocument/2006/relationships/hyperlink" Target="https://doi.org/10.1016/j.addma.2024.104341" TargetMode="External"/><Relationship Id="rId91" Type="http://schemas.openxmlformats.org/officeDocument/2006/relationships/hyperlink" Target="https://doi.org/10.1016/j.addma.2024.104341" TargetMode="External"/><Relationship Id="rId96" Type="http://schemas.openxmlformats.org/officeDocument/2006/relationships/hyperlink" Target="https://doi.org/10.1016/j.addma.2024.104341" TargetMode="External"/><Relationship Id="rId1" Type="http://schemas.openxmlformats.org/officeDocument/2006/relationships/hyperlink" Target="https://doi.org/10.1016/j.msea.2019.138319" TargetMode="External"/><Relationship Id="rId6" Type="http://schemas.openxmlformats.org/officeDocument/2006/relationships/hyperlink" Target="https://doi.org/10.1016/j.msea.2018.11.130" TargetMode="External"/><Relationship Id="rId23" Type="http://schemas.openxmlformats.org/officeDocument/2006/relationships/hyperlink" Target="https://doi.org/10.3390/mi13020331" TargetMode="External"/><Relationship Id="rId28" Type="http://schemas.openxmlformats.org/officeDocument/2006/relationships/hyperlink" Target="https://doi.org/10.1016/j.matchar.2017.01.014" TargetMode="External"/><Relationship Id="rId49" Type="http://schemas.openxmlformats.org/officeDocument/2006/relationships/hyperlink" Target="https://doi.org/10.1016/j.jallcom.2019.152536" TargetMode="External"/><Relationship Id="rId114" Type="http://schemas.openxmlformats.org/officeDocument/2006/relationships/hyperlink" Target="https://doi.org/10.1016/j.addma.2024.104341" TargetMode="External"/><Relationship Id="rId119" Type="http://schemas.openxmlformats.org/officeDocument/2006/relationships/hyperlink" Target="https://doi.org/10.1016/j.addma.2024.104341" TargetMode="External"/><Relationship Id="rId44" Type="http://schemas.openxmlformats.org/officeDocument/2006/relationships/hyperlink" Target="https://doi.org/10.1016/j.jallcom.2019.152536" TargetMode="External"/><Relationship Id="rId60" Type="http://schemas.openxmlformats.org/officeDocument/2006/relationships/hyperlink" Target="https://doi.org/10.1016/j.addma.2024.104341" TargetMode="External"/><Relationship Id="rId65" Type="http://schemas.openxmlformats.org/officeDocument/2006/relationships/hyperlink" Target="https://doi.org/10.1016/j.addma.2024.104341" TargetMode="External"/><Relationship Id="rId81" Type="http://schemas.openxmlformats.org/officeDocument/2006/relationships/hyperlink" Target="https://doi.org/10.1016/j.addma.2024.104341" TargetMode="External"/><Relationship Id="rId86" Type="http://schemas.openxmlformats.org/officeDocument/2006/relationships/hyperlink" Target="https://doi.org/10.1016/j.addma.2024.104341" TargetMode="External"/><Relationship Id="rId130" Type="http://schemas.openxmlformats.org/officeDocument/2006/relationships/hyperlink" Target="https://doi.org/10.1016/j.addma.2024.104341" TargetMode="External"/><Relationship Id="rId135" Type="http://schemas.openxmlformats.org/officeDocument/2006/relationships/hyperlink" Target="https://doi.org/10.1016/j.addma.2024.104341" TargetMode="External"/><Relationship Id="rId13" Type="http://schemas.openxmlformats.org/officeDocument/2006/relationships/hyperlink" Target="https://doi.org/10.1016/j.msea.2019.138319" TargetMode="External"/><Relationship Id="rId18" Type="http://schemas.openxmlformats.org/officeDocument/2006/relationships/hyperlink" Target="https://doi.org/10.1016/j.msea.2014.07.086" TargetMode="External"/><Relationship Id="rId39" Type="http://schemas.openxmlformats.org/officeDocument/2006/relationships/hyperlink" Target="https://doi.org/10.3390/met11040534" TargetMode="External"/><Relationship Id="rId109" Type="http://schemas.openxmlformats.org/officeDocument/2006/relationships/hyperlink" Target="https://doi.org/10.1016/j.addma.2024.104341" TargetMode="External"/><Relationship Id="rId34" Type="http://schemas.openxmlformats.org/officeDocument/2006/relationships/hyperlink" Target="https://doi.org/10.3139/146.111615" TargetMode="External"/><Relationship Id="rId50" Type="http://schemas.openxmlformats.org/officeDocument/2006/relationships/hyperlink" Target="https://doi.org/10.1016/j.jallcom.2019.152536" TargetMode="External"/><Relationship Id="rId55" Type="http://schemas.openxmlformats.org/officeDocument/2006/relationships/hyperlink" Target="https://doi.org/10.1016/j.jallcom.2019.152536" TargetMode="External"/><Relationship Id="rId76" Type="http://schemas.openxmlformats.org/officeDocument/2006/relationships/hyperlink" Target="https://doi.org/10.1016/j.addma.2024.104341" TargetMode="External"/><Relationship Id="rId97" Type="http://schemas.openxmlformats.org/officeDocument/2006/relationships/hyperlink" Target="https://doi.org/10.1016/j.addma.2024.104341" TargetMode="External"/><Relationship Id="rId104" Type="http://schemas.openxmlformats.org/officeDocument/2006/relationships/hyperlink" Target="https://doi.org/10.1016/j.addma.2024.104341" TargetMode="External"/><Relationship Id="rId120" Type="http://schemas.openxmlformats.org/officeDocument/2006/relationships/hyperlink" Target="https://doi.org/10.1016/j.addma.2024.104341" TargetMode="External"/><Relationship Id="rId125" Type="http://schemas.openxmlformats.org/officeDocument/2006/relationships/hyperlink" Target="https://doi.org/10.1016/j.addma.2024.104341" TargetMode="External"/><Relationship Id="rId7" Type="http://schemas.openxmlformats.org/officeDocument/2006/relationships/hyperlink" Target="https://doi.org/10.1016/j.msea.2018.11.130" TargetMode="External"/><Relationship Id="rId71" Type="http://schemas.openxmlformats.org/officeDocument/2006/relationships/hyperlink" Target="https://doi.org/10.1016/j.addma.2024.104341" TargetMode="External"/><Relationship Id="rId92" Type="http://schemas.openxmlformats.org/officeDocument/2006/relationships/hyperlink" Target="https://doi.org/10.1016/j.addma.2024.104341" TargetMode="External"/><Relationship Id="rId2" Type="http://schemas.openxmlformats.org/officeDocument/2006/relationships/hyperlink" Target="https://doi.org/10.1016/j.msea.2018.11.130" TargetMode="External"/><Relationship Id="rId29" Type="http://schemas.openxmlformats.org/officeDocument/2006/relationships/hyperlink" Target="https://doi.org/10.1016/j.matchar.2017.01.014" TargetMode="External"/><Relationship Id="rId24" Type="http://schemas.openxmlformats.org/officeDocument/2006/relationships/hyperlink" Target="https://doi.org/10.3390/mi13020331" TargetMode="External"/><Relationship Id="rId40" Type="http://schemas.openxmlformats.org/officeDocument/2006/relationships/hyperlink" Target="https://doi.org/10.1016/j.msea.2021.141815" TargetMode="External"/><Relationship Id="rId45" Type="http://schemas.openxmlformats.org/officeDocument/2006/relationships/hyperlink" Target="https://doi.org/10.1016/j.jallcom.2019.152536" TargetMode="External"/><Relationship Id="rId66" Type="http://schemas.openxmlformats.org/officeDocument/2006/relationships/hyperlink" Target="https://doi.org/10.1016/j.addma.2024.104341" TargetMode="External"/><Relationship Id="rId87" Type="http://schemas.openxmlformats.org/officeDocument/2006/relationships/hyperlink" Target="https://doi.org/10.1016/j.addma.2024.104341" TargetMode="External"/><Relationship Id="rId110" Type="http://schemas.openxmlformats.org/officeDocument/2006/relationships/hyperlink" Target="https://doi.org/10.1016/j.addma.2024.104341" TargetMode="External"/><Relationship Id="rId115" Type="http://schemas.openxmlformats.org/officeDocument/2006/relationships/hyperlink" Target="https://doi.org/10.1016/j.addma.2024.104341" TargetMode="External"/><Relationship Id="rId131" Type="http://schemas.openxmlformats.org/officeDocument/2006/relationships/hyperlink" Target="https://doi.org/10.1016/j.addma.2024.104341" TargetMode="External"/><Relationship Id="rId136" Type="http://schemas.openxmlformats.org/officeDocument/2006/relationships/hyperlink" Target="https://doi.org/10.1016/j.addma.2024.104341" TargetMode="External"/><Relationship Id="rId61" Type="http://schemas.openxmlformats.org/officeDocument/2006/relationships/hyperlink" Target="https://doi.org/10.1016/j.addma.2024.104341" TargetMode="External"/><Relationship Id="rId82" Type="http://schemas.openxmlformats.org/officeDocument/2006/relationships/hyperlink" Target="https://doi.org/10.1016/j.addma.2024.104341" TargetMode="External"/><Relationship Id="rId19" Type="http://schemas.openxmlformats.org/officeDocument/2006/relationships/hyperlink" Target="https://doi.org/10.1016/j.msea.2019.138319" TargetMode="External"/><Relationship Id="rId14" Type="http://schemas.openxmlformats.org/officeDocument/2006/relationships/hyperlink" Target="https://doi.org/10.1016/j.msea.2019.138319" TargetMode="External"/><Relationship Id="rId30" Type="http://schemas.openxmlformats.org/officeDocument/2006/relationships/hyperlink" Target="https://doi.org/10.1016/j.matchar.2017.01.014" TargetMode="External"/><Relationship Id="rId35" Type="http://schemas.openxmlformats.org/officeDocument/2006/relationships/hyperlink" Target="https://doi.org/10.3139/146.111615" TargetMode="External"/><Relationship Id="rId56" Type="http://schemas.openxmlformats.org/officeDocument/2006/relationships/hyperlink" Target="https://doi.org/10.1016/j.addma.2024.104341" TargetMode="External"/><Relationship Id="rId77" Type="http://schemas.openxmlformats.org/officeDocument/2006/relationships/hyperlink" Target="https://doi.org/10.1016/j.addma.2024.104341" TargetMode="External"/><Relationship Id="rId100" Type="http://schemas.openxmlformats.org/officeDocument/2006/relationships/hyperlink" Target="https://doi.org/10.1016/j.addma.2024.104341" TargetMode="External"/><Relationship Id="rId105" Type="http://schemas.openxmlformats.org/officeDocument/2006/relationships/hyperlink" Target="https://doi.org/10.1016/j.addma.2024.104341" TargetMode="External"/><Relationship Id="rId126" Type="http://schemas.openxmlformats.org/officeDocument/2006/relationships/hyperlink" Target="https://doi.org/10.1016/j.addma.2024.104341" TargetMode="External"/><Relationship Id="rId8" Type="http://schemas.openxmlformats.org/officeDocument/2006/relationships/hyperlink" Target="https://doi.org/10.1016/j.msea.2019.138319" TargetMode="External"/><Relationship Id="rId51" Type="http://schemas.openxmlformats.org/officeDocument/2006/relationships/hyperlink" Target="https://doi.org/10.1016/j.jallcom.2019.152536" TargetMode="External"/><Relationship Id="rId72" Type="http://schemas.openxmlformats.org/officeDocument/2006/relationships/hyperlink" Target="https://doi.org/10.1016/j.addma.2024.104341" TargetMode="External"/><Relationship Id="rId93" Type="http://schemas.openxmlformats.org/officeDocument/2006/relationships/hyperlink" Target="https://doi.org/10.1016/j.addma.2024.104341" TargetMode="External"/><Relationship Id="rId98" Type="http://schemas.openxmlformats.org/officeDocument/2006/relationships/hyperlink" Target="https://doi.org/10.1016/j.addma.2024.104341" TargetMode="External"/><Relationship Id="rId121" Type="http://schemas.openxmlformats.org/officeDocument/2006/relationships/hyperlink" Target="https://doi.org/10.1016/j.addma.2024.104341" TargetMode="External"/><Relationship Id="rId3" Type="http://schemas.openxmlformats.org/officeDocument/2006/relationships/hyperlink" Target="https://doi.org/10.1016/j.msea.2018.11.130" TargetMode="External"/><Relationship Id="rId25" Type="http://schemas.openxmlformats.org/officeDocument/2006/relationships/hyperlink" Target="https://doi.org/10.1016/j.msea.2016.12.065" TargetMode="External"/><Relationship Id="rId46" Type="http://schemas.openxmlformats.org/officeDocument/2006/relationships/hyperlink" Target="https://doi.org/10.1016/j.msea.2016.12.065" TargetMode="External"/><Relationship Id="rId67" Type="http://schemas.openxmlformats.org/officeDocument/2006/relationships/hyperlink" Target="https://doi.org/10.1016/j.addma.2024.104341" TargetMode="External"/><Relationship Id="rId116" Type="http://schemas.openxmlformats.org/officeDocument/2006/relationships/hyperlink" Target="https://doi.org/10.1016/j.addma.2024.104341" TargetMode="External"/><Relationship Id="rId137" Type="http://schemas.openxmlformats.org/officeDocument/2006/relationships/hyperlink" Target="https://doi.org/10.1007/s11661-019-05322-w" TargetMode="External"/><Relationship Id="rId20" Type="http://schemas.openxmlformats.org/officeDocument/2006/relationships/hyperlink" Target="https://doi.org/10.3390/ma10010035" TargetMode="External"/><Relationship Id="rId41" Type="http://schemas.openxmlformats.org/officeDocument/2006/relationships/hyperlink" Target="https://link.springer.com/article/10.1007/s41230-018-8064-8" TargetMode="External"/><Relationship Id="rId62" Type="http://schemas.openxmlformats.org/officeDocument/2006/relationships/hyperlink" Target="https://doi.org/10.1016/j.addma.2024.104341" TargetMode="External"/><Relationship Id="rId83" Type="http://schemas.openxmlformats.org/officeDocument/2006/relationships/hyperlink" Target="https://doi.org/10.1016/j.addma.2024.104341" TargetMode="External"/><Relationship Id="rId88" Type="http://schemas.openxmlformats.org/officeDocument/2006/relationships/hyperlink" Target="https://doi.org/10.1016/j.addma.2024.104341" TargetMode="External"/><Relationship Id="rId111" Type="http://schemas.openxmlformats.org/officeDocument/2006/relationships/hyperlink" Target="https://doi.org/10.1016/j.addma.2024.104341" TargetMode="External"/><Relationship Id="rId132" Type="http://schemas.openxmlformats.org/officeDocument/2006/relationships/hyperlink" Target="https://doi.org/10.1016/j.addma.2024.104341" TargetMode="External"/><Relationship Id="rId15" Type="http://schemas.openxmlformats.org/officeDocument/2006/relationships/hyperlink" Target="https://doi.org/10.1108/RPJ-02-2016-0022" TargetMode="External"/><Relationship Id="rId36" Type="http://schemas.openxmlformats.org/officeDocument/2006/relationships/hyperlink" Target="https://doi.org/10.1016/j.optlastec.2019.105890" TargetMode="External"/><Relationship Id="rId57" Type="http://schemas.openxmlformats.org/officeDocument/2006/relationships/hyperlink" Target="https://doi.org/10.1016/j.addma.2024.104341" TargetMode="External"/><Relationship Id="rId106" Type="http://schemas.openxmlformats.org/officeDocument/2006/relationships/hyperlink" Target="https://doi.org/10.1016/j.addma.2024.104341" TargetMode="External"/><Relationship Id="rId127" Type="http://schemas.openxmlformats.org/officeDocument/2006/relationships/hyperlink" Target="https://doi.org/10.1016/j.addma.2024.104341" TargetMode="External"/><Relationship Id="rId10" Type="http://schemas.openxmlformats.org/officeDocument/2006/relationships/hyperlink" Target="https://doi.org/10.1016/j.msea.2019.138319" TargetMode="External"/><Relationship Id="rId31" Type="http://schemas.openxmlformats.org/officeDocument/2006/relationships/hyperlink" Target="https://doi.org/10.1016/j.msea.2018.03.021" TargetMode="External"/><Relationship Id="rId52" Type="http://schemas.openxmlformats.org/officeDocument/2006/relationships/hyperlink" Target="https://doi.org/10.1016/j.jallcom.2019.152536" TargetMode="External"/><Relationship Id="rId73" Type="http://schemas.openxmlformats.org/officeDocument/2006/relationships/hyperlink" Target="https://doi.org/10.1016/j.addma.2024.104341" TargetMode="External"/><Relationship Id="rId78" Type="http://schemas.openxmlformats.org/officeDocument/2006/relationships/hyperlink" Target="https://doi.org/10.1016/j.addma.2024.104341" TargetMode="External"/><Relationship Id="rId94" Type="http://schemas.openxmlformats.org/officeDocument/2006/relationships/hyperlink" Target="https://doi.org/10.1016/j.addma.2024.104341" TargetMode="External"/><Relationship Id="rId99" Type="http://schemas.openxmlformats.org/officeDocument/2006/relationships/hyperlink" Target="https://doi.org/10.1016/j.addma.2024.104341" TargetMode="External"/><Relationship Id="rId101" Type="http://schemas.openxmlformats.org/officeDocument/2006/relationships/hyperlink" Target="https://doi.org/10.1016/j.addma.2024.104341" TargetMode="External"/><Relationship Id="rId122" Type="http://schemas.openxmlformats.org/officeDocument/2006/relationships/hyperlink" Target="https://doi.org/10.1016/j.addma.2024.104341" TargetMode="External"/><Relationship Id="rId4" Type="http://schemas.openxmlformats.org/officeDocument/2006/relationships/hyperlink" Target="https://doi.org/10.1016/j.msea.2018.11.130" TargetMode="External"/><Relationship Id="rId9" Type="http://schemas.openxmlformats.org/officeDocument/2006/relationships/hyperlink" Target="https://doi.org/10.1016/j.msea.2019.138319" TargetMode="External"/><Relationship Id="rId26" Type="http://schemas.openxmlformats.org/officeDocument/2006/relationships/hyperlink" Target="https://doi.org/10.3139/146.111615" TargetMode="External"/><Relationship Id="rId47" Type="http://schemas.openxmlformats.org/officeDocument/2006/relationships/hyperlink" Target="https://doi.org/10.1016/j.jallcom.2019.152536" TargetMode="External"/><Relationship Id="rId68" Type="http://schemas.openxmlformats.org/officeDocument/2006/relationships/hyperlink" Target="https://doi.org/10.1016/j.addma.2024.104341" TargetMode="External"/><Relationship Id="rId89" Type="http://schemas.openxmlformats.org/officeDocument/2006/relationships/hyperlink" Target="https://doi.org/10.1016/j.addma.2024.104341" TargetMode="External"/><Relationship Id="rId112" Type="http://schemas.openxmlformats.org/officeDocument/2006/relationships/hyperlink" Target="https://doi.org/10.1016/j.addma.2024.104341" TargetMode="External"/><Relationship Id="rId133" Type="http://schemas.openxmlformats.org/officeDocument/2006/relationships/hyperlink" Target="https://doi.org/10.1016/j.addma.2024.10434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5"/>
  <sheetViews>
    <sheetView tabSelected="1" zoomScale="160" zoomScaleNormal="160" workbookViewId="0">
      <selection activeCell="F141" sqref="E2:F141"/>
    </sheetView>
  </sheetViews>
  <sheetFormatPr defaultRowHeight="15"/>
  <cols>
    <col min="1" max="1" width="9.375" customWidth="1"/>
    <col min="2" max="2" width="10.5" customWidth="1"/>
    <col min="3" max="3" width="14.375" customWidth="1"/>
    <col min="4" max="4" width="19.625" customWidth="1"/>
    <col min="5" max="5" width="19.25" customWidth="1"/>
    <col min="6" max="6" width="19.625" customWidth="1"/>
    <col min="7" max="7" width="50.5" customWidth="1"/>
    <col min="8" max="8" width="19.25" customWidth="1"/>
    <col min="9" max="9" width="11.875" customWidth="1"/>
    <col min="10" max="10" width="16.875" customWidth="1"/>
    <col min="11" max="11" width="19.5" customWidth="1"/>
    <col min="12" max="12" width="11.875" customWidth="1"/>
    <col min="13" max="13" width="15.125" customWidth="1"/>
    <col min="14" max="14" width="51.25" style="7" customWidth="1"/>
  </cols>
  <sheetData>
    <row r="1" spans="1:15" ht="31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43</v>
      </c>
      <c r="H1" s="2" t="s">
        <v>36</v>
      </c>
      <c r="I1" s="2" t="s">
        <v>40</v>
      </c>
      <c r="J1" s="2" t="s">
        <v>37</v>
      </c>
      <c r="K1" s="2" t="s">
        <v>38</v>
      </c>
      <c r="L1" s="2" t="s">
        <v>39</v>
      </c>
      <c r="M1" s="2" t="s">
        <v>41</v>
      </c>
      <c r="N1" s="2" t="s">
        <v>6</v>
      </c>
    </row>
    <row r="2" spans="1:15" ht="15.75">
      <c r="A2" s="1">
        <v>0</v>
      </c>
      <c r="B2" s="1">
        <v>70</v>
      </c>
      <c r="C2" s="1">
        <v>620</v>
      </c>
      <c r="D2" s="1">
        <v>45.895620246525048</v>
      </c>
      <c r="E2" s="1">
        <v>1100</v>
      </c>
      <c r="F2" s="1">
        <v>11</v>
      </c>
      <c r="G2" s="1" t="s">
        <v>7</v>
      </c>
      <c r="H2" s="1">
        <v>27</v>
      </c>
      <c r="I2" s="1">
        <v>30</v>
      </c>
      <c r="J2" s="1">
        <v>82</v>
      </c>
      <c r="K2" s="1" t="s">
        <v>8</v>
      </c>
      <c r="L2" s="1">
        <v>115</v>
      </c>
      <c r="M2" s="1">
        <v>60</v>
      </c>
      <c r="N2" s="3" t="s">
        <v>9</v>
      </c>
      <c r="O2" s="1"/>
    </row>
    <row r="3" spans="1:15" ht="15.75">
      <c r="A3" s="1">
        <v>1</v>
      </c>
      <c r="B3" s="1">
        <v>75</v>
      </c>
      <c r="C3" s="1">
        <v>1000</v>
      </c>
      <c r="D3" s="1">
        <v>38.961038961038966</v>
      </c>
      <c r="E3" s="1">
        <v>1080</v>
      </c>
      <c r="F3" s="1">
        <v>3.8</v>
      </c>
      <c r="G3" s="1" t="s">
        <v>35</v>
      </c>
      <c r="H3" s="1">
        <v>22.5</v>
      </c>
      <c r="I3" s="1">
        <v>25</v>
      </c>
      <c r="J3" s="1">
        <v>77</v>
      </c>
      <c r="K3" s="1" t="s">
        <v>8</v>
      </c>
      <c r="L3" s="1"/>
      <c r="M3" s="1"/>
      <c r="N3" s="3" t="s">
        <v>10</v>
      </c>
      <c r="O3" s="8"/>
    </row>
    <row r="4" spans="1:15" ht="15.75">
      <c r="A4" s="1">
        <v>2</v>
      </c>
      <c r="B4" s="1">
        <v>75</v>
      </c>
      <c r="C4" s="1">
        <v>800</v>
      </c>
      <c r="D4" s="1">
        <v>48.701298701298704</v>
      </c>
      <c r="E4" s="1">
        <v>1190</v>
      </c>
      <c r="F4" s="1">
        <v>3.5</v>
      </c>
      <c r="G4" s="1" t="s">
        <v>35</v>
      </c>
      <c r="H4" s="1">
        <v>22.5</v>
      </c>
      <c r="I4" s="1">
        <v>25</v>
      </c>
      <c r="J4" s="1">
        <v>77</v>
      </c>
      <c r="K4" s="1" t="s">
        <v>8</v>
      </c>
      <c r="L4" s="1"/>
      <c r="M4" s="1"/>
      <c r="N4" s="3" t="s">
        <v>10</v>
      </c>
      <c r="O4" s="1"/>
    </row>
    <row r="5" spans="1:15" ht="15.75">
      <c r="A5" s="1">
        <v>3</v>
      </c>
      <c r="B5" s="1">
        <v>75</v>
      </c>
      <c r="C5" s="1">
        <v>600</v>
      </c>
      <c r="D5" s="1">
        <v>64.935064935064943</v>
      </c>
      <c r="E5" s="1">
        <v>1280</v>
      </c>
      <c r="F5" s="1">
        <v>4.7</v>
      </c>
      <c r="G5" s="1" t="s">
        <v>35</v>
      </c>
      <c r="H5" s="1">
        <v>22.5</v>
      </c>
      <c r="I5" s="1">
        <v>25</v>
      </c>
      <c r="J5" s="1">
        <v>77</v>
      </c>
      <c r="K5" s="1" t="s">
        <v>8</v>
      </c>
      <c r="L5" s="1"/>
      <c r="M5" s="1"/>
      <c r="N5" s="3" t="s">
        <v>10</v>
      </c>
      <c r="O5" s="8"/>
    </row>
    <row r="6" spans="1:15" ht="15.75">
      <c r="A6" s="1">
        <v>4</v>
      </c>
      <c r="B6" s="1">
        <v>75</v>
      </c>
      <c r="C6" s="1">
        <v>400</v>
      </c>
      <c r="D6" s="1">
        <v>97.402597402597408</v>
      </c>
      <c r="E6" s="1">
        <v>1250</v>
      </c>
      <c r="F6" s="1">
        <v>3.8</v>
      </c>
      <c r="G6" s="1" t="s">
        <v>35</v>
      </c>
      <c r="H6" s="1">
        <v>22.5</v>
      </c>
      <c r="I6" s="1">
        <v>25</v>
      </c>
      <c r="J6" s="1">
        <v>77</v>
      </c>
      <c r="K6" s="1" t="s">
        <v>8</v>
      </c>
      <c r="L6" s="1"/>
      <c r="M6" s="1"/>
      <c r="N6" s="3" t="s">
        <v>10</v>
      </c>
      <c r="O6" s="1"/>
    </row>
    <row r="7" spans="1:15" ht="15.75">
      <c r="A7" s="1">
        <v>5</v>
      </c>
      <c r="B7" s="1">
        <v>75</v>
      </c>
      <c r="C7" s="1">
        <v>300</v>
      </c>
      <c r="D7" s="1">
        <v>129.87012987012989</v>
      </c>
      <c r="E7" s="1">
        <v>1040</v>
      </c>
      <c r="F7" s="1">
        <v>3.2</v>
      </c>
      <c r="G7" s="1" t="s">
        <v>35</v>
      </c>
      <c r="H7" s="1">
        <v>22.5</v>
      </c>
      <c r="I7" s="1">
        <v>25</v>
      </c>
      <c r="J7" s="1">
        <v>77</v>
      </c>
      <c r="K7" s="1" t="s">
        <v>8</v>
      </c>
      <c r="L7" s="1"/>
      <c r="M7" s="1"/>
      <c r="N7" s="3" t="s">
        <v>10</v>
      </c>
      <c r="O7" s="8"/>
    </row>
    <row r="8" spans="1:15" ht="15.75">
      <c r="A8" s="1">
        <v>6</v>
      </c>
      <c r="B8" s="1">
        <v>75</v>
      </c>
      <c r="C8" s="1">
        <v>200</v>
      </c>
      <c r="D8" s="1">
        <v>194.80519480519482</v>
      </c>
      <c r="E8" s="1">
        <v>400</v>
      </c>
      <c r="F8" s="1">
        <v>2</v>
      </c>
      <c r="G8" s="1" t="s">
        <v>35</v>
      </c>
      <c r="H8" s="1">
        <v>22.5</v>
      </c>
      <c r="I8" s="1">
        <v>25</v>
      </c>
      <c r="J8" s="1">
        <v>77</v>
      </c>
      <c r="K8" s="1" t="s">
        <v>8</v>
      </c>
      <c r="L8" s="1"/>
      <c r="M8" s="1"/>
      <c r="N8" s="3" t="s">
        <v>10</v>
      </c>
      <c r="O8" s="1"/>
    </row>
    <row r="9" spans="1:15" ht="15.75">
      <c r="A9" s="1">
        <v>7</v>
      </c>
      <c r="B9" s="1">
        <v>75</v>
      </c>
      <c r="C9" s="1">
        <v>150</v>
      </c>
      <c r="D9" s="1">
        <v>259.74025974025977</v>
      </c>
      <c r="E9" s="1">
        <v>590</v>
      </c>
      <c r="F9" s="1">
        <v>2</v>
      </c>
      <c r="G9" s="1" t="s">
        <v>35</v>
      </c>
      <c r="H9" s="1">
        <v>22.5</v>
      </c>
      <c r="I9" s="1">
        <v>25</v>
      </c>
      <c r="J9" s="1">
        <v>77</v>
      </c>
      <c r="K9" s="1" t="s">
        <v>8</v>
      </c>
      <c r="L9" s="1"/>
      <c r="M9" s="1"/>
      <c r="N9" s="3" t="s">
        <v>10</v>
      </c>
      <c r="O9" s="8"/>
    </row>
    <row r="10" spans="1:15" ht="15.75">
      <c r="A10" s="1">
        <v>8</v>
      </c>
      <c r="B10" s="1">
        <v>79</v>
      </c>
      <c r="C10" s="1">
        <v>620</v>
      </c>
      <c r="D10" s="1">
        <v>51.796485706792552</v>
      </c>
      <c r="E10" s="1">
        <v>1170</v>
      </c>
      <c r="F10" s="1">
        <v>10.5</v>
      </c>
      <c r="G10" s="1" t="s">
        <v>7</v>
      </c>
      <c r="H10" s="1">
        <v>27</v>
      </c>
      <c r="I10" s="1">
        <v>30</v>
      </c>
      <c r="J10" s="1">
        <v>82</v>
      </c>
      <c r="K10" s="1" t="s">
        <v>8</v>
      </c>
      <c r="L10" s="1">
        <v>115</v>
      </c>
      <c r="M10" s="1">
        <v>60</v>
      </c>
      <c r="N10" s="3" t="s">
        <v>9</v>
      </c>
      <c r="O10" s="1"/>
    </row>
    <row r="11" spans="1:15" ht="15.75">
      <c r="A11" s="1">
        <v>9</v>
      </c>
      <c r="B11" s="1">
        <v>88</v>
      </c>
      <c r="C11" s="1">
        <v>620</v>
      </c>
      <c r="D11" s="1">
        <v>57.697351167060063</v>
      </c>
      <c r="E11" s="1">
        <v>1200</v>
      </c>
      <c r="F11" s="1">
        <v>7.2</v>
      </c>
      <c r="G11" s="1" t="s">
        <v>7</v>
      </c>
      <c r="H11" s="1">
        <v>27</v>
      </c>
      <c r="I11" s="1">
        <v>30</v>
      </c>
      <c r="J11" s="1">
        <v>82</v>
      </c>
      <c r="K11" s="1" t="s">
        <v>8</v>
      </c>
      <c r="L11" s="1">
        <v>115</v>
      </c>
      <c r="M11" s="1">
        <v>60</v>
      </c>
      <c r="N11" s="3" t="s">
        <v>9</v>
      </c>
      <c r="O11" s="8"/>
    </row>
    <row r="12" spans="1:15" ht="15.75">
      <c r="A12" s="1">
        <v>10</v>
      </c>
      <c r="B12" s="1">
        <v>88</v>
      </c>
      <c r="C12" s="1">
        <v>496</v>
      </c>
      <c r="D12" s="1">
        <v>72.121688958825075</v>
      </c>
      <c r="E12" s="1">
        <v>1200</v>
      </c>
      <c r="F12" s="1">
        <v>5.7</v>
      </c>
      <c r="G12" s="1" t="s">
        <v>7</v>
      </c>
      <c r="H12" s="1">
        <v>27</v>
      </c>
      <c r="I12" s="1">
        <v>30</v>
      </c>
      <c r="J12" s="1">
        <v>82</v>
      </c>
      <c r="K12" s="1" t="s">
        <v>8</v>
      </c>
      <c r="L12" s="1">
        <v>115</v>
      </c>
      <c r="M12" s="1">
        <v>60</v>
      </c>
      <c r="N12" s="3" t="s">
        <v>9</v>
      </c>
      <c r="O12" s="1"/>
    </row>
    <row r="13" spans="1:15" ht="15.75">
      <c r="A13" s="1">
        <v>11</v>
      </c>
      <c r="B13" s="1">
        <v>88</v>
      </c>
      <c r="C13" s="1">
        <v>558</v>
      </c>
      <c r="D13" s="1">
        <v>64.108167963400064</v>
      </c>
      <c r="E13" s="1">
        <v>1200</v>
      </c>
      <c r="F13" s="1">
        <v>6</v>
      </c>
      <c r="G13" s="1" t="s">
        <v>7</v>
      </c>
      <c r="H13" s="1">
        <v>27</v>
      </c>
      <c r="I13" s="1">
        <v>30</v>
      </c>
      <c r="J13" s="1">
        <v>82</v>
      </c>
      <c r="K13" s="1" t="s">
        <v>8</v>
      </c>
      <c r="L13" s="1">
        <v>115</v>
      </c>
      <c r="M13" s="1">
        <v>60</v>
      </c>
      <c r="N13" s="3" t="s">
        <v>9</v>
      </c>
      <c r="O13" s="8"/>
    </row>
    <row r="14" spans="1:15" ht="15.75">
      <c r="A14" s="1">
        <v>12</v>
      </c>
      <c r="B14" s="1">
        <v>88</v>
      </c>
      <c r="C14" s="1">
        <v>682</v>
      </c>
      <c r="D14" s="1">
        <v>52.452137424600053</v>
      </c>
      <c r="E14" s="1">
        <v>1200</v>
      </c>
      <c r="F14" s="1">
        <v>9.8000000000000007</v>
      </c>
      <c r="G14" s="1" t="s">
        <v>7</v>
      </c>
      <c r="H14" s="1">
        <v>27</v>
      </c>
      <c r="I14" s="1">
        <v>30</v>
      </c>
      <c r="J14" s="1">
        <v>82</v>
      </c>
      <c r="K14" s="1" t="s">
        <v>8</v>
      </c>
      <c r="L14" s="1">
        <v>115</v>
      </c>
      <c r="M14" s="1">
        <v>60</v>
      </c>
      <c r="N14" s="3" t="s">
        <v>9</v>
      </c>
      <c r="O14" s="1"/>
    </row>
    <row r="15" spans="1:15" ht="15.75">
      <c r="A15" s="1">
        <v>13</v>
      </c>
      <c r="B15" s="1">
        <v>88</v>
      </c>
      <c r="C15" s="1">
        <v>744</v>
      </c>
      <c r="D15" s="1">
        <v>48.081125972550055</v>
      </c>
      <c r="E15" s="1">
        <v>1200</v>
      </c>
      <c r="F15" s="1">
        <v>10.3</v>
      </c>
      <c r="G15" s="1" t="s">
        <v>7</v>
      </c>
      <c r="H15" s="1">
        <v>27</v>
      </c>
      <c r="I15" s="1">
        <v>30</v>
      </c>
      <c r="J15" s="1">
        <v>82</v>
      </c>
      <c r="K15" s="1"/>
      <c r="L15" s="1">
        <v>115</v>
      </c>
      <c r="M15" s="1">
        <v>60</v>
      </c>
      <c r="N15" s="3" t="s">
        <v>9</v>
      </c>
      <c r="O15" s="8"/>
    </row>
    <row r="16" spans="1:15" ht="15.75">
      <c r="A16" s="1">
        <v>14</v>
      </c>
      <c r="B16" s="1">
        <v>97</v>
      </c>
      <c r="C16" s="1">
        <v>620</v>
      </c>
      <c r="D16" s="1">
        <v>63.598216627327567</v>
      </c>
      <c r="E16" s="1">
        <v>1190</v>
      </c>
      <c r="F16" s="1">
        <v>6.8</v>
      </c>
      <c r="G16" s="1" t="s">
        <v>7</v>
      </c>
      <c r="H16" s="1">
        <v>27</v>
      </c>
      <c r="I16" s="1">
        <v>30</v>
      </c>
      <c r="J16" s="1">
        <v>82</v>
      </c>
      <c r="K16" s="1" t="s">
        <v>8</v>
      </c>
      <c r="L16" s="1">
        <v>115</v>
      </c>
      <c r="M16" s="1">
        <v>60</v>
      </c>
      <c r="N16" s="3" t="s">
        <v>9</v>
      </c>
      <c r="O16" s="1"/>
    </row>
    <row r="17" spans="1:15" ht="15.75">
      <c r="A17" s="1">
        <v>15</v>
      </c>
      <c r="B17" s="1">
        <v>100</v>
      </c>
      <c r="C17" s="1">
        <v>700</v>
      </c>
      <c r="D17" s="1">
        <v>63.492063492063494</v>
      </c>
      <c r="E17" s="1">
        <v>1351</v>
      </c>
      <c r="F17" s="1">
        <v>3.15</v>
      </c>
      <c r="G17" s="1" t="s">
        <v>11</v>
      </c>
      <c r="H17" s="1"/>
      <c r="I17" s="1">
        <v>30</v>
      </c>
      <c r="J17" s="1">
        <v>75</v>
      </c>
      <c r="K17" s="1" t="s">
        <v>8</v>
      </c>
      <c r="L17" s="1"/>
      <c r="M17" s="1">
        <v>20</v>
      </c>
      <c r="N17" s="3" t="s">
        <v>12</v>
      </c>
      <c r="O17" s="8"/>
    </row>
    <row r="18" spans="1:15" ht="15.75">
      <c r="A18" s="1">
        <v>16</v>
      </c>
      <c r="B18" s="1">
        <v>106</v>
      </c>
      <c r="C18" s="1">
        <v>620</v>
      </c>
      <c r="D18" s="1">
        <v>69.49908208759507</v>
      </c>
      <c r="E18" s="1">
        <v>1185</v>
      </c>
      <c r="F18" s="1">
        <v>6.3</v>
      </c>
      <c r="G18" s="1" t="s">
        <v>7</v>
      </c>
      <c r="H18" s="1">
        <v>27</v>
      </c>
      <c r="I18" s="1">
        <v>30</v>
      </c>
      <c r="J18" s="1">
        <v>82</v>
      </c>
      <c r="K18" s="1" t="s">
        <v>8</v>
      </c>
      <c r="L18" s="1">
        <v>115</v>
      </c>
      <c r="M18" s="1">
        <v>60</v>
      </c>
      <c r="N18" s="3" t="s">
        <v>9</v>
      </c>
      <c r="O18" s="1"/>
    </row>
    <row r="19" spans="1:15" ht="15.75">
      <c r="A19" s="1">
        <v>17</v>
      </c>
      <c r="B19" s="1">
        <v>150</v>
      </c>
      <c r="C19" s="1">
        <v>100</v>
      </c>
      <c r="D19" s="1">
        <v>1000</v>
      </c>
      <c r="E19" s="1">
        <v>1008</v>
      </c>
      <c r="F19" s="1">
        <v>11.9</v>
      </c>
      <c r="G19" s="1" t="s">
        <v>7</v>
      </c>
      <c r="H19" s="1">
        <v>34</v>
      </c>
      <c r="I19" s="1">
        <v>30</v>
      </c>
      <c r="J19" s="1">
        <v>50</v>
      </c>
      <c r="K19" s="1"/>
      <c r="L19" s="1"/>
      <c r="M19" s="1"/>
      <c r="N19" s="3" t="s">
        <v>13</v>
      </c>
      <c r="O19" s="8"/>
    </row>
    <row r="20" spans="1:15" ht="15.75">
      <c r="A20" s="1">
        <v>18</v>
      </c>
      <c r="B20" s="1">
        <v>150</v>
      </c>
      <c r="C20" s="1">
        <v>600</v>
      </c>
      <c r="D20" s="1">
        <v>78.125</v>
      </c>
      <c r="E20" s="1">
        <v>1288</v>
      </c>
      <c r="F20" s="1">
        <v>6.43</v>
      </c>
      <c r="G20" s="1"/>
      <c r="H20" s="1"/>
      <c r="I20" s="1">
        <v>40</v>
      </c>
      <c r="J20" s="1">
        <v>80</v>
      </c>
      <c r="K20" s="1"/>
      <c r="L20" s="1">
        <v>70</v>
      </c>
      <c r="M20" s="1"/>
      <c r="N20" s="3" t="s">
        <v>14</v>
      </c>
      <c r="O20" s="1"/>
    </row>
    <row r="21" spans="1:15" ht="15.75">
      <c r="A21" s="1">
        <v>19</v>
      </c>
      <c r="B21" s="1">
        <v>157</v>
      </c>
      <c r="C21" s="1">
        <v>225</v>
      </c>
      <c r="D21" s="1">
        <v>139.55555555555557</v>
      </c>
      <c r="E21" s="1">
        <v>1199</v>
      </c>
      <c r="F21" s="1">
        <v>7.6</v>
      </c>
      <c r="G21" s="1" t="s">
        <v>11</v>
      </c>
      <c r="H21" s="1"/>
      <c r="I21" s="1">
        <v>50</v>
      </c>
      <c r="J21" s="1">
        <v>100</v>
      </c>
      <c r="K21" s="1"/>
      <c r="L21" s="1"/>
      <c r="M21" s="1">
        <v>90</v>
      </c>
      <c r="N21" s="3" t="s">
        <v>15</v>
      </c>
      <c r="O21" s="8"/>
    </row>
    <row r="22" spans="1:15" ht="15.75">
      <c r="A22" s="1">
        <v>20</v>
      </c>
      <c r="B22" s="1">
        <v>170</v>
      </c>
      <c r="C22" s="1">
        <v>900</v>
      </c>
      <c r="D22" s="1">
        <v>89.94708994708995</v>
      </c>
      <c r="E22" s="1">
        <v>1250</v>
      </c>
      <c r="F22" s="1">
        <v>5.5</v>
      </c>
      <c r="G22" s="1"/>
      <c r="H22" s="1">
        <v>30</v>
      </c>
      <c r="I22" s="1">
        <v>30</v>
      </c>
      <c r="J22" s="1">
        <v>70</v>
      </c>
      <c r="K22" s="1" t="s">
        <v>8</v>
      </c>
      <c r="L22" s="1"/>
      <c r="M22" s="1"/>
      <c r="N22" s="3" t="s">
        <v>16</v>
      </c>
      <c r="O22" s="1"/>
    </row>
    <row r="23" spans="1:15" ht="15.75">
      <c r="A23" s="1">
        <v>21</v>
      </c>
      <c r="B23" s="1">
        <v>170</v>
      </c>
      <c r="C23" s="1">
        <v>1100</v>
      </c>
      <c r="D23" s="1">
        <v>73.593073593073598</v>
      </c>
      <c r="E23" s="1">
        <v>1230</v>
      </c>
      <c r="F23" s="1">
        <v>6.3</v>
      </c>
      <c r="G23" s="1"/>
      <c r="H23" s="1">
        <v>30</v>
      </c>
      <c r="I23" s="1">
        <v>30</v>
      </c>
      <c r="J23" s="1">
        <v>70</v>
      </c>
      <c r="K23" s="1" t="s">
        <v>8</v>
      </c>
      <c r="L23" s="1"/>
      <c r="M23" s="1"/>
      <c r="N23" s="3" t="s">
        <v>16</v>
      </c>
      <c r="O23" s="8"/>
    </row>
    <row r="24" spans="1:15" ht="15.75">
      <c r="A24" s="1">
        <v>22</v>
      </c>
      <c r="B24" s="1">
        <v>170</v>
      </c>
      <c r="C24" s="1">
        <v>1300</v>
      </c>
      <c r="D24" s="1">
        <v>62.27106227106227</v>
      </c>
      <c r="E24" s="1">
        <v>1200</v>
      </c>
      <c r="F24" s="1">
        <v>7.8</v>
      </c>
      <c r="G24" s="1"/>
      <c r="H24" s="1">
        <v>30</v>
      </c>
      <c r="I24" s="1">
        <v>30</v>
      </c>
      <c r="J24" s="1">
        <v>70</v>
      </c>
      <c r="K24" s="1" t="s">
        <v>8</v>
      </c>
      <c r="L24" s="1"/>
      <c r="M24" s="1"/>
      <c r="N24" s="3" t="s">
        <v>16</v>
      </c>
      <c r="O24" s="1"/>
    </row>
    <row r="25" spans="1:15" ht="15.75">
      <c r="A25" s="1">
        <v>23</v>
      </c>
      <c r="B25" s="1">
        <v>170</v>
      </c>
      <c r="C25" s="1">
        <v>1500</v>
      </c>
      <c r="D25" s="1">
        <v>53.968253968253968</v>
      </c>
      <c r="E25" s="1">
        <v>1250</v>
      </c>
      <c r="F25" s="1">
        <v>5.4</v>
      </c>
      <c r="G25" s="1"/>
      <c r="H25" s="1">
        <v>30</v>
      </c>
      <c r="I25" s="1">
        <v>30</v>
      </c>
      <c r="J25" s="1">
        <v>70</v>
      </c>
      <c r="K25" s="1" t="s">
        <v>8</v>
      </c>
      <c r="L25" s="1"/>
      <c r="M25" s="1"/>
      <c r="N25" s="3" t="s">
        <v>16</v>
      </c>
      <c r="O25" s="8"/>
    </row>
    <row r="26" spans="1:15" ht="15.75">
      <c r="A26" s="1">
        <v>24</v>
      </c>
      <c r="B26" s="1">
        <v>170</v>
      </c>
      <c r="C26" s="1">
        <v>1250</v>
      </c>
      <c r="D26" s="1">
        <v>45.333333333333336</v>
      </c>
      <c r="E26" s="1">
        <v>1000</v>
      </c>
      <c r="F26" s="1">
        <v>8</v>
      </c>
      <c r="G26" s="1"/>
      <c r="H26" s="1"/>
      <c r="I26" s="1">
        <v>30</v>
      </c>
      <c r="J26" s="1">
        <v>100</v>
      </c>
      <c r="K26" s="1" t="s">
        <v>8</v>
      </c>
      <c r="L26" s="1"/>
      <c r="M26" s="1"/>
      <c r="N26" s="3" t="s">
        <v>17</v>
      </c>
      <c r="O26" s="1"/>
    </row>
    <row r="27" spans="1:15" ht="15.75">
      <c r="A27" s="1">
        <v>25</v>
      </c>
      <c r="B27" s="1">
        <v>175</v>
      </c>
      <c r="C27" s="1">
        <v>775</v>
      </c>
      <c r="D27" s="1">
        <v>62.724014336917563</v>
      </c>
      <c r="E27" s="1">
        <v>1050</v>
      </c>
      <c r="F27" s="1">
        <v>9.1999999999999993</v>
      </c>
      <c r="G27" s="1"/>
      <c r="H27" s="1">
        <v>30</v>
      </c>
      <c r="I27" s="1">
        <v>30</v>
      </c>
      <c r="J27" s="1">
        <v>120</v>
      </c>
      <c r="K27" s="1"/>
      <c r="L27" s="1">
        <v>33</v>
      </c>
      <c r="M27" s="1"/>
      <c r="N27" s="3" t="s">
        <v>18</v>
      </c>
      <c r="O27" s="8"/>
    </row>
    <row r="28" spans="1:15" ht="15.75">
      <c r="A28" s="1">
        <v>26</v>
      </c>
      <c r="B28" s="1">
        <v>180</v>
      </c>
      <c r="C28" s="1">
        <v>720.00000000000011</v>
      </c>
      <c r="D28" s="1">
        <v>40</v>
      </c>
      <c r="E28" s="1">
        <v>1200</v>
      </c>
      <c r="F28" s="1">
        <v>5.62</v>
      </c>
      <c r="G28" s="1" t="s">
        <v>19</v>
      </c>
      <c r="H28" s="1">
        <v>30</v>
      </c>
      <c r="I28" s="1">
        <v>50</v>
      </c>
      <c r="J28" s="1">
        <v>125</v>
      </c>
      <c r="K28" s="1"/>
      <c r="L28" s="1"/>
      <c r="M28" s="1">
        <v>70</v>
      </c>
      <c r="N28" s="3" t="s">
        <v>20</v>
      </c>
      <c r="O28" s="1"/>
    </row>
    <row r="29" spans="1:15" ht="15.75">
      <c r="A29" s="1">
        <v>27</v>
      </c>
      <c r="B29" s="1">
        <v>194</v>
      </c>
      <c r="C29" s="1">
        <v>800</v>
      </c>
      <c r="D29" s="1">
        <v>101.04166666666667</v>
      </c>
      <c r="E29" s="1">
        <v>1000</v>
      </c>
      <c r="F29" s="1">
        <v>3.7</v>
      </c>
      <c r="G29" s="1" t="s">
        <v>22</v>
      </c>
      <c r="H29" s="1">
        <v>29</v>
      </c>
      <c r="I29" s="1">
        <v>20</v>
      </c>
      <c r="J29" s="1">
        <v>120</v>
      </c>
      <c r="K29" s="1" t="s">
        <v>8</v>
      </c>
      <c r="L29" s="1"/>
      <c r="M29" s="1"/>
      <c r="N29" s="3" t="s">
        <v>21</v>
      </c>
      <c r="O29" s="8"/>
    </row>
    <row r="30" spans="1:15" ht="15.75">
      <c r="A30" s="1">
        <v>28</v>
      </c>
      <c r="B30" s="1">
        <v>194</v>
      </c>
      <c r="C30" s="1">
        <v>1000</v>
      </c>
      <c r="D30" s="1">
        <v>80.833333333333343</v>
      </c>
      <c r="E30" s="1">
        <v>1100</v>
      </c>
      <c r="F30" s="1">
        <v>4.3</v>
      </c>
      <c r="G30" s="1" t="s">
        <v>22</v>
      </c>
      <c r="H30" s="1">
        <v>29</v>
      </c>
      <c r="I30" s="1">
        <v>20</v>
      </c>
      <c r="J30" s="1">
        <v>120</v>
      </c>
      <c r="K30" s="1" t="s">
        <v>8</v>
      </c>
      <c r="L30" s="1"/>
      <c r="M30" s="1"/>
      <c r="N30" s="3" t="s">
        <v>21</v>
      </c>
      <c r="O30" s="1"/>
    </row>
    <row r="31" spans="1:15" ht="15.75">
      <c r="A31" s="1">
        <v>29</v>
      </c>
      <c r="B31" s="1">
        <v>194</v>
      </c>
      <c r="C31" s="1">
        <v>600</v>
      </c>
      <c r="D31" s="1">
        <v>134.72222222222223</v>
      </c>
      <c r="E31" s="1">
        <v>1250</v>
      </c>
      <c r="F31" s="1">
        <v>4.8</v>
      </c>
      <c r="G31" s="1" t="s">
        <v>22</v>
      </c>
      <c r="H31" s="1">
        <v>29</v>
      </c>
      <c r="I31" s="1">
        <v>20</v>
      </c>
      <c r="J31" s="1">
        <v>120</v>
      </c>
      <c r="K31" s="1" t="s">
        <v>8</v>
      </c>
      <c r="L31" s="1"/>
      <c r="M31" s="1"/>
      <c r="N31" s="3" t="s">
        <v>21</v>
      </c>
      <c r="O31" s="8"/>
    </row>
    <row r="32" spans="1:15" ht="15.75">
      <c r="A32" s="1">
        <v>30</v>
      </c>
      <c r="B32" s="1">
        <v>194</v>
      </c>
      <c r="C32" s="1">
        <v>400</v>
      </c>
      <c r="D32" s="1">
        <v>202.08333333333334</v>
      </c>
      <c r="E32" s="1">
        <v>1350</v>
      </c>
      <c r="F32" s="1">
        <v>5.0999999999999996</v>
      </c>
      <c r="G32" s="1" t="s">
        <v>22</v>
      </c>
      <c r="H32" s="1">
        <v>29</v>
      </c>
      <c r="I32" s="1">
        <v>20</v>
      </c>
      <c r="J32" s="1">
        <v>120</v>
      </c>
      <c r="K32" s="1" t="s">
        <v>8</v>
      </c>
      <c r="L32" s="1"/>
      <c r="M32" s="1"/>
      <c r="N32" s="3" t="s">
        <v>21</v>
      </c>
      <c r="O32" s="1"/>
    </row>
    <row r="33" spans="1:15" ht="15.75">
      <c r="A33" s="1">
        <v>31</v>
      </c>
      <c r="B33" s="1">
        <v>200</v>
      </c>
      <c r="C33" s="1">
        <v>150</v>
      </c>
      <c r="D33" s="1">
        <v>888.88888888888903</v>
      </c>
      <c r="E33" s="1">
        <v>910</v>
      </c>
      <c r="F33" s="1">
        <v>8.9</v>
      </c>
      <c r="G33" s="1" t="s">
        <v>7</v>
      </c>
      <c r="H33" s="1">
        <v>34</v>
      </c>
      <c r="I33" s="1">
        <v>30</v>
      </c>
      <c r="J33" s="1">
        <v>50</v>
      </c>
      <c r="K33" s="1"/>
      <c r="L33" s="1"/>
      <c r="M33" s="1"/>
      <c r="N33" s="3" t="s">
        <v>13</v>
      </c>
      <c r="O33" s="8"/>
    </row>
    <row r="34" spans="1:15" ht="15.75">
      <c r="A34" s="1">
        <v>32</v>
      </c>
      <c r="B34" s="1">
        <v>200</v>
      </c>
      <c r="C34" s="1">
        <v>100</v>
      </c>
      <c r="D34" s="1">
        <v>1333.3333333333335</v>
      </c>
      <c r="E34" s="1">
        <v>850</v>
      </c>
      <c r="F34" s="1">
        <v>9.1</v>
      </c>
      <c r="G34" s="1" t="s">
        <v>22</v>
      </c>
      <c r="H34" s="1">
        <v>34</v>
      </c>
      <c r="I34" s="1">
        <v>30</v>
      </c>
      <c r="J34" s="1">
        <v>50</v>
      </c>
      <c r="K34" s="1"/>
      <c r="L34" s="1"/>
      <c r="M34" s="1"/>
      <c r="N34" s="3" t="s">
        <v>13</v>
      </c>
      <c r="O34" s="1"/>
    </row>
    <row r="35" spans="1:15" ht="15.75">
      <c r="A35" s="1">
        <v>33</v>
      </c>
      <c r="B35" s="1">
        <v>200</v>
      </c>
      <c r="C35" s="1">
        <v>1000</v>
      </c>
      <c r="D35" s="1">
        <v>40.000000000000007</v>
      </c>
      <c r="E35" s="1">
        <v>1280</v>
      </c>
      <c r="F35" s="1">
        <v>5.5</v>
      </c>
      <c r="G35" s="1"/>
      <c r="H35" s="1">
        <v>39</v>
      </c>
      <c r="I35" s="1">
        <v>50</v>
      </c>
      <c r="J35" s="1">
        <v>100</v>
      </c>
      <c r="K35" s="1" t="s">
        <v>8</v>
      </c>
      <c r="L35" s="1">
        <v>90</v>
      </c>
      <c r="M35" s="1">
        <v>40</v>
      </c>
      <c r="N35" s="3" t="s">
        <v>23</v>
      </c>
      <c r="O35" s="8"/>
    </row>
    <row r="36" spans="1:15" ht="15.75">
      <c r="A36" s="1">
        <v>34</v>
      </c>
      <c r="B36" s="1">
        <v>200</v>
      </c>
      <c r="C36" s="1">
        <v>480.00000000000051</v>
      </c>
      <c r="D36" s="1">
        <v>66.6666666666666</v>
      </c>
      <c r="E36" s="1">
        <v>1380</v>
      </c>
      <c r="F36" s="1">
        <v>6.95</v>
      </c>
      <c r="G36" s="1" t="s">
        <v>19</v>
      </c>
      <c r="H36" s="1">
        <v>30</v>
      </c>
      <c r="I36" s="1">
        <v>50</v>
      </c>
      <c r="J36" s="1">
        <v>125</v>
      </c>
      <c r="K36" s="1"/>
      <c r="L36" s="1"/>
      <c r="M36" s="1">
        <v>70</v>
      </c>
      <c r="N36" s="3" t="s">
        <v>20</v>
      </c>
      <c r="O36" s="1"/>
    </row>
    <row r="37" spans="1:15" ht="15.75">
      <c r="A37" s="1">
        <v>35</v>
      </c>
      <c r="B37" s="1">
        <v>200</v>
      </c>
      <c r="C37" s="1">
        <v>359.99999999999955</v>
      </c>
      <c r="D37" s="1">
        <v>88.888888888888999</v>
      </c>
      <c r="E37" s="1">
        <v>1337</v>
      </c>
      <c r="F37" s="1">
        <v>6.19</v>
      </c>
      <c r="G37" s="1" t="s">
        <v>19</v>
      </c>
      <c r="H37" s="1">
        <v>30</v>
      </c>
      <c r="I37" s="1">
        <v>50</v>
      </c>
      <c r="J37" s="1">
        <v>125</v>
      </c>
      <c r="K37" s="1"/>
      <c r="L37" s="1"/>
      <c r="M37" s="1">
        <v>70</v>
      </c>
      <c r="N37" s="3" t="s">
        <v>20</v>
      </c>
      <c r="O37" s="8"/>
    </row>
    <row r="38" spans="1:15" ht="15.75">
      <c r="A38" s="1">
        <v>36</v>
      </c>
      <c r="B38" s="1">
        <v>200</v>
      </c>
      <c r="C38" s="1">
        <v>1000</v>
      </c>
      <c r="D38" s="1">
        <v>125.00000000000001</v>
      </c>
      <c r="E38" s="1">
        <v>1260</v>
      </c>
      <c r="F38" s="1">
        <v>4</v>
      </c>
      <c r="G38" s="1"/>
      <c r="H38" s="1"/>
      <c r="I38" s="1">
        <v>20</v>
      </c>
      <c r="J38" s="1">
        <v>80</v>
      </c>
      <c r="K38" s="1"/>
      <c r="L38" s="1">
        <v>90</v>
      </c>
      <c r="M38" s="1"/>
      <c r="N38" s="3" t="s">
        <v>24</v>
      </c>
      <c r="O38" s="1"/>
    </row>
    <row r="39" spans="1:15" ht="15.75">
      <c r="A39" s="1">
        <v>37</v>
      </c>
      <c r="B39" s="1">
        <v>270</v>
      </c>
      <c r="C39" s="1">
        <v>1800</v>
      </c>
      <c r="D39" s="1">
        <v>58.82352941176471</v>
      </c>
      <c r="E39" s="1">
        <v>1361</v>
      </c>
      <c r="F39" s="1">
        <v>2.8</v>
      </c>
      <c r="G39" s="1"/>
      <c r="H39" s="1">
        <v>22.73</v>
      </c>
      <c r="I39" s="1">
        <v>30</v>
      </c>
      <c r="J39" s="1">
        <v>85</v>
      </c>
      <c r="K39" s="1" t="s">
        <v>8</v>
      </c>
      <c r="L39" s="1"/>
      <c r="M39" s="1"/>
      <c r="N39" s="3" t="s">
        <v>25</v>
      </c>
      <c r="O39" s="8"/>
    </row>
    <row r="40" spans="1:15" ht="15.75">
      <c r="A40" s="1">
        <v>38</v>
      </c>
      <c r="B40" s="1">
        <v>280</v>
      </c>
      <c r="C40" s="1">
        <v>1200</v>
      </c>
      <c r="D40" s="1">
        <v>55.555555555555557</v>
      </c>
      <c r="E40" s="1">
        <v>1300</v>
      </c>
      <c r="F40" s="1">
        <v>6.9</v>
      </c>
      <c r="G40" s="1"/>
      <c r="H40" s="1">
        <v>40</v>
      </c>
      <c r="I40" s="1">
        <v>30</v>
      </c>
      <c r="J40" s="1">
        <v>140</v>
      </c>
      <c r="K40" s="1" t="s">
        <v>8</v>
      </c>
      <c r="L40" s="1"/>
      <c r="M40" s="1"/>
      <c r="N40" s="3" t="s">
        <v>26</v>
      </c>
      <c r="O40" s="1"/>
    </row>
    <row r="41" spans="1:15" ht="15.75">
      <c r="A41" s="1">
        <v>39</v>
      </c>
      <c r="B41" s="1">
        <v>280</v>
      </c>
      <c r="C41" s="1">
        <v>1200</v>
      </c>
      <c r="D41" s="1">
        <v>55.555555555555557</v>
      </c>
      <c r="E41" s="1">
        <v>1200</v>
      </c>
      <c r="F41" s="1">
        <v>9.5</v>
      </c>
      <c r="G41" s="1" t="s">
        <v>22</v>
      </c>
      <c r="H41" s="1">
        <v>33</v>
      </c>
      <c r="I41" s="1">
        <v>30</v>
      </c>
      <c r="J41" s="1">
        <v>140</v>
      </c>
      <c r="K41" s="1" t="s">
        <v>8</v>
      </c>
      <c r="L41" s="1"/>
      <c r="M41" s="1"/>
      <c r="N41" s="3" t="s">
        <v>27</v>
      </c>
      <c r="O41" s="8"/>
    </row>
    <row r="42" spans="1:15" ht="15.75">
      <c r="A42" s="1">
        <v>40</v>
      </c>
      <c r="B42" s="1">
        <v>280</v>
      </c>
      <c r="C42" s="1">
        <v>1400</v>
      </c>
      <c r="D42" s="1">
        <v>60.606060606060616</v>
      </c>
      <c r="E42" s="1">
        <v>1152</v>
      </c>
      <c r="F42" s="1">
        <v>6.1</v>
      </c>
      <c r="G42" s="1"/>
      <c r="H42" s="1">
        <v>33</v>
      </c>
      <c r="I42" s="1">
        <v>30</v>
      </c>
      <c r="J42" s="1">
        <v>110</v>
      </c>
      <c r="K42" s="1"/>
      <c r="L42" s="1"/>
      <c r="M42" s="1"/>
      <c r="N42" s="3" t="s">
        <v>28</v>
      </c>
      <c r="O42" s="1"/>
    </row>
    <row r="43" spans="1:15" ht="15.75">
      <c r="A43" s="1">
        <v>41</v>
      </c>
      <c r="B43" s="1">
        <v>280</v>
      </c>
      <c r="C43" s="1">
        <v>1200</v>
      </c>
      <c r="D43" s="1">
        <v>97.222222222222229</v>
      </c>
      <c r="E43" s="1">
        <v>1180</v>
      </c>
      <c r="F43" s="1">
        <v>9.6</v>
      </c>
      <c r="G43" s="1"/>
      <c r="H43" s="1"/>
      <c r="I43" s="1">
        <v>30</v>
      </c>
      <c r="J43" s="1">
        <v>80</v>
      </c>
      <c r="K43" s="1"/>
      <c r="L43" s="1">
        <v>100</v>
      </c>
      <c r="M43" s="1"/>
      <c r="N43" s="3" t="s">
        <v>29</v>
      </c>
      <c r="O43" s="8"/>
    </row>
    <row r="44" spans="1:15" ht="15.75">
      <c r="A44" s="1">
        <v>42</v>
      </c>
      <c r="B44" s="1">
        <v>300</v>
      </c>
      <c r="C44" s="1">
        <v>300</v>
      </c>
      <c r="D44" s="1">
        <v>400.00000000000006</v>
      </c>
      <c r="E44" s="1">
        <v>1177</v>
      </c>
      <c r="F44" s="1">
        <v>2</v>
      </c>
      <c r="G44" s="1"/>
      <c r="H44" s="1">
        <v>44</v>
      </c>
      <c r="I44" s="1">
        <v>50</v>
      </c>
      <c r="J44" s="1">
        <v>50</v>
      </c>
      <c r="K44" s="1"/>
      <c r="L44" s="1">
        <v>45</v>
      </c>
      <c r="M44" s="1"/>
      <c r="N44" s="3" t="s">
        <v>30</v>
      </c>
      <c r="O44" s="1"/>
    </row>
    <row r="45" spans="1:15" ht="15.75">
      <c r="A45" s="1">
        <v>43</v>
      </c>
      <c r="B45" s="1">
        <v>300</v>
      </c>
      <c r="C45" s="1">
        <v>900</v>
      </c>
      <c r="D45" s="1">
        <v>55.555555555555564</v>
      </c>
      <c r="E45" s="1">
        <v>1000</v>
      </c>
      <c r="F45" s="1">
        <v>8.9</v>
      </c>
      <c r="G45" s="1"/>
      <c r="H45" s="1">
        <v>35</v>
      </c>
      <c r="I45" s="1">
        <v>50</v>
      </c>
      <c r="J45" s="1">
        <v>120</v>
      </c>
      <c r="K45" s="1"/>
      <c r="L45" s="1"/>
      <c r="M45" s="1"/>
      <c r="N45" s="3" t="s">
        <v>31</v>
      </c>
      <c r="O45" s="8"/>
    </row>
    <row r="46" spans="1:15" ht="15.75">
      <c r="A46" s="1">
        <v>44</v>
      </c>
      <c r="B46" s="1">
        <v>310</v>
      </c>
      <c r="C46" s="1">
        <v>1100</v>
      </c>
      <c r="D46" s="1">
        <v>26.094276094276097</v>
      </c>
      <c r="E46" s="1">
        <v>1150</v>
      </c>
      <c r="F46" s="1">
        <v>14</v>
      </c>
      <c r="G46" s="1"/>
      <c r="H46" s="1">
        <v>36</v>
      </c>
      <c r="I46" s="1">
        <v>60</v>
      </c>
      <c r="J46" s="1">
        <v>180</v>
      </c>
      <c r="K46" s="1" t="s">
        <v>8</v>
      </c>
      <c r="L46" s="1"/>
      <c r="M46" s="1"/>
      <c r="N46" s="3" t="s">
        <v>17</v>
      </c>
      <c r="O46" s="1"/>
    </row>
    <row r="47" spans="1:15" ht="15.75">
      <c r="A47" s="1">
        <v>45</v>
      </c>
      <c r="B47" s="1">
        <v>375</v>
      </c>
      <c r="C47" s="1">
        <v>1029</v>
      </c>
      <c r="D47" s="1">
        <v>50.615484288953681</v>
      </c>
      <c r="E47" s="1">
        <v>1244</v>
      </c>
      <c r="F47" s="1">
        <v>5.5</v>
      </c>
      <c r="G47" s="1" t="s">
        <v>22</v>
      </c>
      <c r="H47" s="1">
        <v>45</v>
      </c>
      <c r="I47" s="1">
        <v>60</v>
      </c>
      <c r="J47" s="1">
        <v>120</v>
      </c>
      <c r="K47" s="1" t="s">
        <v>8</v>
      </c>
      <c r="L47" s="1">
        <v>67</v>
      </c>
      <c r="M47" s="1">
        <v>88</v>
      </c>
      <c r="N47" s="3" t="s">
        <v>32</v>
      </c>
      <c r="O47" s="8"/>
    </row>
    <row r="48" spans="1:15" ht="15.75">
      <c r="A48" s="1">
        <v>46</v>
      </c>
      <c r="B48" s="1">
        <v>375</v>
      </c>
      <c r="C48" s="1">
        <v>858</v>
      </c>
      <c r="D48" s="1">
        <v>60.703185703185703</v>
      </c>
      <c r="E48" s="1">
        <v>1241</v>
      </c>
      <c r="F48" s="1">
        <v>6.5</v>
      </c>
      <c r="G48" s="1"/>
      <c r="H48" s="1">
        <v>40</v>
      </c>
      <c r="I48" s="1">
        <v>60</v>
      </c>
      <c r="J48" s="1">
        <v>120</v>
      </c>
      <c r="K48" s="1"/>
      <c r="L48" s="1">
        <v>67</v>
      </c>
      <c r="M48" s="1"/>
      <c r="N48" s="3" t="s">
        <v>32</v>
      </c>
      <c r="O48" s="1"/>
    </row>
    <row r="49" spans="1:15" ht="15.75">
      <c r="A49" s="1">
        <v>47</v>
      </c>
      <c r="B49" s="1">
        <v>375</v>
      </c>
      <c r="C49" s="1">
        <v>1029</v>
      </c>
      <c r="D49" s="1">
        <v>50.615484288953681</v>
      </c>
      <c r="E49" s="1">
        <v>1253</v>
      </c>
      <c r="F49" s="1">
        <v>8</v>
      </c>
      <c r="G49" s="1"/>
      <c r="H49" s="1"/>
      <c r="I49" s="1">
        <v>60</v>
      </c>
      <c r="J49" s="1">
        <v>120</v>
      </c>
      <c r="K49" s="1"/>
      <c r="L49" s="1"/>
      <c r="M49" s="1"/>
      <c r="N49" s="3" t="s">
        <v>32</v>
      </c>
      <c r="O49" s="8"/>
    </row>
    <row r="50" spans="1:15" ht="15.75">
      <c r="A50" s="1">
        <v>48</v>
      </c>
      <c r="B50" s="1">
        <v>375</v>
      </c>
      <c r="C50" s="1">
        <v>1160</v>
      </c>
      <c r="D50" s="1">
        <v>44.899425287356323</v>
      </c>
      <c r="E50" s="1">
        <v>1250</v>
      </c>
      <c r="F50" s="1">
        <v>8</v>
      </c>
      <c r="G50" s="1"/>
      <c r="H50" s="1"/>
      <c r="I50" s="1">
        <v>60</v>
      </c>
      <c r="J50" s="1">
        <v>120</v>
      </c>
      <c r="K50" s="1"/>
      <c r="L50" s="1"/>
      <c r="M50" s="1"/>
      <c r="N50" s="3" t="s">
        <v>32</v>
      </c>
      <c r="O50" s="1"/>
    </row>
    <row r="51" spans="1:15" ht="15.75">
      <c r="A51" s="1">
        <v>49</v>
      </c>
      <c r="B51" s="1">
        <v>375</v>
      </c>
      <c r="C51" s="1">
        <v>1029</v>
      </c>
      <c r="D51" s="1">
        <v>60.738581146744416</v>
      </c>
      <c r="E51" s="1">
        <v>1268</v>
      </c>
      <c r="F51" s="1">
        <v>5</v>
      </c>
      <c r="G51" s="1"/>
      <c r="H51" s="1"/>
      <c r="I51" s="1">
        <v>60</v>
      </c>
      <c r="J51" s="1">
        <v>100</v>
      </c>
      <c r="K51" s="4"/>
      <c r="L51" s="1"/>
      <c r="M51" s="1"/>
      <c r="N51" s="3" t="s">
        <v>32</v>
      </c>
      <c r="O51" s="8"/>
    </row>
    <row r="52" spans="1:15" ht="15.75">
      <c r="A52" s="1">
        <v>50</v>
      </c>
      <c r="B52" s="1">
        <v>375</v>
      </c>
      <c r="C52" s="1">
        <v>1235</v>
      </c>
      <c r="D52" s="1">
        <v>50.607287449392715</v>
      </c>
      <c r="E52" s="1">
        <v>1252</v>
      </c>
      <c r="F52" s="1">
        <v>6</v>
      </c>
      <c r="G52" s="1"/>
      <c r="H52" s="1"/>
      <c r="I52" s="1">
        <v>60</v>
      </c>
      <c r="J52" s="1">
        <v>100</v>
      </c>
      <c r="K52" s="4"/>
      <c r="L52" s="1"/>
      <c r="M52" s="1"/>
      <c r="N52" s="3" t="s">
        <v>32</v>
      </c>
      <c r="O52" s="1"/>
    </row>
    <row r="53" spans="1:15" ht="15.75">
      <c r="A53" s="1">
        <v>51</v>
      </c>
      <c r="B53" s="1">
        <v>375</v>
      </c>
      <c r="C53" s="1">
        <v>1392</v>
      </c>
      <c r="D53" s="1">
        <v>44.89942528735633</v>
      </c>
      <c r="E53" s="1">
        <v>1257</v>
      </c>
      <c r="F53" s="1">
        <v>8.3000000000000007</v>
      </c>
      <c r="G53" s="1"/>
      <c r="H53" s="1"/>
      <c r="I53" s="1">
        <v>60</v>
      </c>
      <c r="J53" s="1">
        <v>100</v>
      </c>
      <c r="K53" s="4"/>
      <c r="L53" s="1"/>
      <c r="M53" s="1"/>
      <c r="N53" s="3" t="s">
        <v>32</v>
      </c>
      <c r="O53" s="8"/>
    </row>
    <row r="54" spans="1:15" ht="15.75">
      <c r="A54" s="1">
        <v>52</v>
      </c>
      <c r="B54" s="1">
        <v>375</v>
      </c>
      <c r="C54" s="1">
        <v>643</v>
      </c>
      <c r="D54" s="1">
        <v>60.750388802488338</v>
      </c>
      <c r="E54" s="1">
        <v>1297</v>
      </c>
      <c r="F54" s="1">
        <v>1.5</v>
      </c>
      <c r="G54" s="1"/>
      <c r="H54" s="1"/>
      <c r="I54" s="1">
        <v>80</v>
      </c>
      <c r="J54" s="1">
        <v>120</v>
      </c>
      <c r="K54" s="4"/>
      <c r="L54" s="1"/>
      <c r="M54" s="1"/>
      <c r="N54" s="3" t="s">
        <v>32</v>
      </c>
      <c r="O54" s="1"/>
    </row>
    <row r="55" spans="1:15" ht="15.75">
      <c r="A55" s="1">
        <v>53</v>
      </c>
      <c r="B55" s="1">
        <v>375</v>
      </c>
      <c r="C55" s="1">
        <v>772</v>
      </c>
      <c r="D55" s="1">
        <v>50.599093264248708</v>
      </c>
      <c r="E55" s="1">
        <v>1280</v>
      </c>
      <c r="F55" s="1">
        <v>3.5</v>
      </c>
      <c r="G55" s="1"/>
      <c r="H55" s="1"/>
      <c r="I55" s="1">
        <v>80</v>
      </c>
      <c r="J55" s="1">
        <v>120</v>
      </c>
      <c r="K55" s="4"/>
      <c r="L55" s="1"/>
      <c r="M55" s="1"/>
      <c r="N55" s="3" t="s">
        <v>32</v>
      </c>
      <c r="O55" s="8"/>
    </row>
    <row r="56" spans="1:15" ht="15.75">
      <c r="A56" s="1">
        <v>54</v>
      </c>
      <c r="B56" s="1">
        <v>375</v>
      </c>
      <c r="C56" s="1">
        <v>870</v>
      </c>
      <c r="D56" s="1">
        <v>44.89942528735633</v>
      </c>
      <c r="E56" s="1">
        <v>1280</v>
      </c>
      <c r="F56" s="1">
        <v>4</v>
      </c>
      <c r="G56" s="1"/>
      <c r="H56" s="1"/>
      <c r="I56" s="1">
        <v>80</v>
      </c>
      <c r="J56" s="1">
        <v>120</v>
      </c>
      <c r="K56" s="4"/>
      <c r="L56" s="1"/>
      <c r="M56" s="1"/>
      <c r="N56" s="3" t="s">
        <v>32</v>
      </c>
      <c r="O56" s="1"/>
    </row>
    <row r="57" spans="1:15" ht="15.75">
      <c r="A57" s="1">
        <v>55</v>
      </c>
      <c r="B57" s="1">
        <v>375</v>
      </c>
      <c r="C57" s="1">
        <v>1026</v>
      </c>
      <c r="D57" s="1">
        <v>50.763482781026639</v>
      </c>
      <c r="E57" s="1">
        <v>1244</v>
      </c>
      <c r="F57" s="1">
        <v>5.5</v>
      </c>
      <c r="G57" s="1"/>
      <c r="H57" s="1"/>
      <c r="I57" s="1">
        <v>60</v>
      </c>
      <c r="J57" s="1">
        <v>120</v>
      </c>
      <c r="K57" s="4"/>
      <c r="L57" s="1"/>
      <c r="M57" s="1"/>
      <c r="N57" s="3" t="s">
        <v>32</v>
      </c>
      <c r="O57" s="8"/>
    </row>
    <row r="58" spans="1:15" ht="15.75">
      <c r="A58" s="1">
        <v>56</v>
      </c>
      <c r="B58" s="5">
        <v>145</v>
      </c>
      <c r="C58" s="5">
        <v>1000</v>
      </c>
      <c r="D58" s="1">
        <v>58.943089430894311</v>
      </c>
      <c r="E58" s="5">
        <v>1215</v>
      </c>
      <c r="F58" s="5">
        <v>11.8</v>
      </c>
      <c r="G58" s="5"/>
      <c r="H58" s="5">
        <v>31.9</v>
      </c>
      <c r="I58" s="5">
        <v>30</v>
      </c>
      <c r="J58" s="5">
        <v>82</v>
      </c>
      <c r="K58" s="5"/>
      <c r="L58" s="5">
        <v>72</v>
      </c>
      <c r="M58" s="5">
        <v>60</v>
      </c>
      <c r="N58" s="6" t="s">
        <v>33</v>
      </c>
      <c r="O58" s="1"/>
    </row>
    <row r="59" spans="1:15" ht="15.75">
      <c r="A59" s="1">
        <v>57</v>
      </c>
      <c r="B59" s="5">
        <v>280</v>
      </c>
      <c r="C59" s="5">
        <v>1200</v>
      </c>
      <c r="D59" s="1">
        <v>55.555555555555557</v>
      </c>
      <c r="E59" s="5">
        <v>1147</v>
      </c>
      <c r="F59" s="5">
        <v>9.1</v>
      </c>
      <c r="G59" s="5"/>
      <c r="H59" s="5">
        <v>35</v>
      </c>
      <c r="I59" s="5">
        <v>30</v>
      </c>
      <c r="J59" s="5">
        <v>140</v>
      </c>
      <c r="K59" s="1" t="s">
        <v>8</v>
      </c>
      <c r="L59" s="5">
        <v>67</v>
      </c>
      <c r="M59" s="5">
        <v>100</v>
      </c>
      <c r="N59" s="6" t="s">
        <v>33</v>
      </c>
      <c r="O59" s="8"/>
    </row>
    <row r="60" spans="1:15" ht="15.75">
      <c r="A60" s="1">
        <v>58</v>
      </c>
      <c r="B60" s="5">
        <v>350</v>
      </c>
      <c r="C60" s="5">
        <v>800</v>
      </c>
      <c r="D60" s="1">
        <v>136.71875000000003</v>
      </c>
      <c r="E60" s="5">
        <v>1180</v>
      </c>
      <c r="F60" s="5">
        <v>3</v>
      </c>
      <c r="G60" s="1" t="s">
        <v>7</v>
      </c>
      <c r="H60" s="5">
        <v>30</v>
      </c>
      <c r="I60" s="5">
        <v>40</v>
      </c>
      <c r="J60" s="5">
        <v>80</v>
      </c>
      <c r="K60" s="1" t="s">
        <v>8</v>
      </c>
      <c r="L60" s="5">
        <v>105</v>
      </c>
      <c r="M60" s="5">
        <v>100</v>
      </c>
      <c r="N60" s="6" t="s">
        <v>33</v>
      </c>
      <c r="O60" s="1"/>
    </row>
    <row r="61" spans="1:15" ht="15.75">
      <c r="A61" s="1">
        <v>59</v>
      </c>
      <c r="B61" s="5">
        <v>280</v>
      </c>
      <c r="C61" s="5">
        <v>1200</v>
      </c>
      <c r="D61" s="1">
        <v>55.555555555555557</v>
      </c>
      <c r="E61" s="5">
        <v>1371</v>
      </c>
      <c r="F61" s="5">
        <v>7.3</v>
      </c>
      <c r="G61" s="1" t="s">
        <v>7</v>
      </c>
      <c r="H61" s="5">
        <v>38</v>
      </c>
      <c r="I61" s="5">
        <v>30</v>
      </c>
      <c r="J61" s="5">
        <v>140</v>
      </c>
      <c r="K61" s="1" t="s">
        <v>8</v>
      </c>
      <c r="L61" s="5">
        <v>67</v>
      </c>
      <c r="M61" s="5">
        <v>100</v>
      </c>
      <c r="N61" s="6" t="s">
        <v>33</v>
      </c>
      <c r="O61" s="8"/>
    </row>
    <row r="62" spans="1:15" ht="15.75">
      <c r="A62" s="1">
        <v>60</v>
      </c>
      <c r="B62" s="5">
        <v>240</v>
      </c>
      <c r="C62" s="5">
        <v>1200</v>
      </c>
      <c r="D62" s="1">
        <v>66.666666666666671</v>
      </c>
      <c r="E62" s="5">
        <v>1287</v>
      </c>
      <c r="F62" s="5">
        <v>10.1</v>
      </c>
      <c r="G62" s="5"/>
      <c r="H62" s="5">
        <v>29.35</v>
      </c>
      <c r="I62" s="5">
        <v>30</v>
      </c>
      <c r="J62" s="5">
        <v>100</v>
      </c>
      <c r="K62" s="1" t="s">
        <v>8</v>
      </c>
      <c r="L62" s="5">
        <v>90</v>
      </c>
      <c r="M62" s="5">
        <v>100</v>
      </c>
      <c r="N62" s="6" t="s">
        <v>33</v>
      </c>
      <c r="O62" s="1"/>
    </row>
    <row r="63" spans="1:15" ht="15.75">
      <c r="A63" s="1">
        <v>61</v>
      </c>
      <c r="B63" s="5">
        <v>240</v>
      </c>
      <c r="C63" s="5">
        <v>1200</v>
      </c>
      <c r="D63" s="1">
        <v>55.55555555555555</v>
      </c>
      <c r="E63" s="5">
        <v>1266</v>
      </c>
      <c r="F63" s="5">
        <v>10</v>
      </c>
      <c r="G63" s="5"/>
      <c r="H63" s="5">
        <v>29.35</v>
      </c>
      <c r="I63" s="5">
        <v>30</v>
      </c>
      <c r="J63" s="5">
        <v>120</v>
      </c>
      <c r="K63" s="1" t="s">
        <v>8</v>
      </c>
      <c r="L63" s="5">
        <v>90</v>
      </c>
      <c r="M63" s="5">
        <v>100</v>
      </c>
      <c r="N63" s="6" t="s">
        <v>33</v>
      </c>
      <c r="O63" s="8"/>
    </row>
    <row r="64" spans="1:15" ht="15.75">
      <c r="A64" s="1">
        <v>62</v>
      </c>
      <c r="B64" s="5">
        <v>240</v>
      </c>
      <c r="C64" s="5">
        <v>1200</v>
      </c>
      <c r="D64" s="1">
        <v>47.61904761904762</v>
      </c>
      <c r="E64" s="5">
        <v>1256</v>
      </c>
      <c r="F64" s="5">
        <v>10.8</v>
      </c>
      <c r="G64" s="5"/>
      <c r="H64" s="5">
        <v>29.35</v>
      </c>
      <c r="I64" s="5">
        <v>30</v>
      </c>
      <c r="J64" s="5">
        <v>140</v>
      </c>
      <c r="K64" s="1" t="s">
        <v>8</v>
      </c>
      <c r="L64" s="5">
        <v>90</v>
      </c>
      <c r="M64" s="5">
        <v>100</v>
      </c>
      <c r="N64" s="6" t="s">
        <v>33</v>
      </c>
      <c r="O64" s="1"/>
    </row>
    <row r="65" spans="1:15" ht="15.75">
      <c r="A65" s="1">
        <v>63</v>
      </c>
      <c r="B65" s="5">
        <v>240</v>
      </c>
      <c r="C65" s="5">
        <v>1200</v>
      </c>
      <c r="D65" s="1">
        <v>41.666666666666671</v>
      </c>
      <c r="E65" s="5">
        <v>1250</v>
      </c>
      <c r="F65" s="5">
        <v>9.4</v>
      </c>
      <c r="G65" s="5"/>
      <c r="H65" s="5">
        <v>29.35</v>
      </c>
      <c r="I65" s="5">
        <v>30</v>
      </c>
      <c r="J65" s="5">
        <v>160</v>
      </c>
      <c r="K65" s="1" t="s">
        <v>8</v>
      </c>
      <c r="L65" s="5">
        <v>90</v>
      </c>
      <c r="M65" s="5">
        <v>100</v>
      </c>
      <c r="N65" s="6" t="s">
        <v>33</v>
      </c>
      <c r="O65" s="8"/>
    </row>
    <row r="66" spans="1:15" ht="15.75">
      <c r="A66" s="1">
        <v>64</v>
      </c>
      <c r="B66" s="5">
        <v>240</v>
      </c>
      <c r="C66" s="5">
        <v>1200</v>
      </c>
      <c r="D66" s="1">
        <v>37.037037037037038</v>
      </c>
      <c r="E66" s="5">
        <v>1187</v>
      </c>
      <c r="F66" s="5">
        <v>6.9</v>
      </c>
      <c r="G66" s="5"/>
      <c r="H66" s="5">
        <v>29.35</v>
      </c>
      <c r="I66" s="5">
        <v>30</v>
      </c>
      <c r="J66" s="5">
        <v>180</v>
      </c>
      <c r="K66" s="1" t="s">
        <v>8</v>
      </c>
      <c r="L66" s="5">
        <v>90</v>
      </c>
      <c r="M66" s="5">
        <v>100</v>
      </c>
      <c r="N66" s="6" t="s">
        <v>33</v>
      </c>
      <c r="O66" s="1"/>
    </row>
    <row r="67" spans="1:15" ht="15.75">
      <c r="A67" s="1">
        <v>65</v>
      </c>
      <c r="B67" s="5">
        <v>194</v>
      </c>
      <c r="C67" s="5">
        <v>1200</v>
      </c>
      <c r="D67" s="1">
        <v>101.04166666666667</v>
      </c>
      <c r="E67" s="5">
        <v>1055</v>
      </c>
      <c r="F67" s="5">
        <v>3.7</v>
      </c>
      <c r="G67" s="1" t="s">
        <v>7</v>
      </c>
      <c r="H67" s="5">
        <v>27</v>
      </c>
      <c r="I67" s="5">
        <v>20</v>
      </c>
      <c r="J67" s="5">
        <v>80</v>
      </c>
      <c r="K67" s="5"/>
      <c r="L67" s="5"/>
      <c r="M67" s="5">
        <v>100</v>
      </c>
      <c r="N67" s="6" t="s">
        <v>33</v>
      </c>
      <c r="O67" s="8"/>
    </row>
    <row r="68" spans="1:15" ht="15.75">
      <c r="A68" s="1">
        <v>66</v>
      </c>
      <c r="B68" s="5">
        <v>194</v>
      </c>
      <c r="C68" s="5">
        <v>600</v>
      </c>
      <c r="D68" s="1">
        <v>230.95238095238099</v>
      </c>
      <c r="E68" s="5">
        <v>1310</v>
      </c>
      <c r="F68" s="5">
        <v>5.4</v>
      </c>
      <c r="G68" s="1" t="s">
        <v>7</v>
      </c>
      <c r="H68" s="5">
        <v>27</v>
      </c>
      <c r="I68" s="5">
        <v>20</v>
      </c>
      <c r="J68" s="5">
        <v>70</v>
      </c>
      <c r="K68" s="5"/>
      <c r="L68" s="5"/>
      <c r="M68" s="5">
        <v>100</v>
      </c>
      <c r="N68" s="6" t="s">
        <v>33</v>
      </c>
      <c r="O68" s="1"/>
    </row>
    <row r="69" spans="1:15" ht="15.75">
      <c r="A69" s="1">
        <v>67</v>
      </c>
      <c r="B69" s="5">
        <v>325</v>
      </c>
      <c r="C69" s="5">
        <v>1000</v>
      </c>
      <c r="D69" s="1">
        <v>67.708333333333343</v>
      </c>
      <c r="E69" s="5">
        <v>1239.3</v>
      </c>
      <c r="F69" s="5">
        <v>4</v>
      </c>
      <c r="G69" s="1" t="s">
        <v>7</v>
      </c>
      <c r="H69" s="5">
        <v>32</v>
      </c>
      <c r="I69" s="5">
        <v>40</v>
      </c>
      <c r="J69" s="5">
        <v>120</v>
      </c>
      <c r="K69" s="5"/>
      <c r="L69" s="5"/>
      <c r="M69" s="5">
        <v>100</v>
      </c>
      <c r="N69" s="6" t="s">
        <v>33</v>
      </c>
      <c r="O69" s="8"/>
    </row>
    <row r="70" spans="1:15" ht="15.75">
      <c r="A70" s="1">
        <v>68</v>
      </c>
      <c r="B70" s="5">
        <v>280</v>
      </c>
      <c r="C70" s="5">
        <v>1200</v>
      </c>
      <c r="D70" s="1">
        <v>27.777777777777779</v>
      </c>
      <c r="E70" s="5">
        <v>1228</v>
      </c>
      <c r="F70" s="5">
        <v>8.5</v>
      </c>
      <c r="G70" s="1" t="s">
        <v>7</v>
      </c>
      <c r="H70" s="5">
        <v>34</v>
      </c>
      <c r="I70" s="5">
        <v>60</v>
      </c>
      <c r="J70" s="5">
        <v>140</v>
      </c>
      <c r="K70" s="5"/>
      <c r="L70" s="5"/>
      <c r="M70" s="5">
        <v>200</v>
      </c>
      <c r="N70" s="6" t="s">
        <v>33</v>
      </c>
      <c r="O70" s="1"/>
    </row>
    <row r="71" spans="1:15" ht="15.75">
      <c r="A71" s="1">
        <v>69</v>
      </c>
      <c r="B71" s="5">
        <v>225</v>
      </c>
      <c r="C71" s="5">
        <v>1000</v>
      </c>
      <c r="D71" s="1">
        <v>93.75</v>
      </c>
      <c r="E71" s="5">
        <v>1042</v>
      </c>
      <c r="F71" s="5">
        <v>8.1</v>
      </c>
      <c r="G71" s="1" t="s">
        <v>7</v>
      </c>
      <c r="H71" s="5">
        <v>37</v>
      </c>
      <c r="I71" s="5">
        <v>30</v>
      </c>
      <c r="J71" s="5">
        <v>80</v>
      </c>
      <c r="K71" s="1" t="s">
        <v>42</v>
      </c>
      <c r="L71" s="5">
        <v>45</v>
      </c>
      <c r="M71" s="5">
        <v>120</v>
      </c>
      <c r="N71" s="6" t="s">
        <v>33</v>
      </c>
      <c r="O71" s="8"/>
    </row>
    <row r="72" spans="1:15" ht="15.75">
      <c r="A72" s="1">
        <v>70</v>
      </c>
      <c r="B72" s="5">
        <v>280</v>
      </c>
      <c r="C72" s="5">
        <v>1800</v>
      </c>
      <c r="D72" s="1">
        <v>59.82905982905983</v>
      </c>
      <c r="E72" s="5">
        <v>1134</v>
      </c>
      <c r="F72" s="5">
        <v>7.8</v>
      </c>
      <c r="G72" s="1" t="s">
        <v>34</v>
      </c>
      <c r="H72" s="5">
        <v>40.409999999999997</v>
      </c>
      <c r="I72" s="5">
        <v>40</v>
      </c>
      <c r="J72" s="5">
        <v>65</v>
      </c>
      <c r="K72" s="5"/>
      <c r="L72" s="5"/>
      <c r="M72" s="5">
        <v>70</v>
      </c>
      <c r="N72" s="6" t="s">
        <v>33</v>
      </c>
      <c r="O72" s="1"/>
    </row>
    <row r="73" spans="1:15" ht="15.75">
      <c r="A73" s="1">
        <v>71</v>
      </c>
      <c r="B73" s="5">
        <v>150</v>
      </c>
      <c r="C73" s="5">
        <v>1000</v>
      </c>
      <c r="D73" s="1">
        <v>83.333333333333329</v>
      </c>
      <c r="E73" s="5">
        <v>1484.9</v>
      </c>
      <c r="F73" s="5">
        <v>2.6</v>
      </c>
      <c r="G73" s="5"/>
      <c r="H73" s="5">
        <v>60</v>
      </c>
      <c r="I73" s="5">
        <v>30</v>
      </c>
      <c r="J73" s="5">
        <v>60</v>
      </c>
      <c r="K73" s="1" t="s">
        <v>8</v>
      </c>
      <c r="L73" s="1">
        <v>67</v>
      </c>
      <c r="M73" s="5">
        <v>70</v>
      </c>
      <c r="N73" s="6" t="s">
        <v>33</v>
      </c>
      <c r="O73" s="8"/>
    </row>
    <row r="74" spans="1:15" ht="15.75">
      <c r="A74" s="1">
        <v>72</v>
      </c>
      <c r="B74" s="5">
        <v>200</v>
      </c>
      <c r="C74" s="5">
        <v>1000</v>
      </c>
      <c r="D74" s="1">
        <v>111.11111111111111</v>
      </c>
      <c r="E74" s="5">
        <v>1283.5999999999999</v>
      </c>
      <c r="F74" s="5">
        <v>5.0999999999999996</v>
      </c>
      <c r="G74" s="5"/>
      <c r="H74" s="5">
        <v>60</v>
      </c>
      <c r="I74" s="5">
        <v>30</v>
      </c>
      <c r="J74" s="5">
        <v>60</v>
      </c>
      <c r="K74" s="1" t="s">
        <v>8</v>
      </c>
      <c r="L74" s="1">
        <v>67</v>
      </c>
      <c r="M74" s="5">
        <v>70</v>
      </c>
      <c r="N74" s="6" t="s">
        <v>33</v>
      </c>
      <c r="O74" s="1"/>
    </row>
    <row r="75" spans="1:15" ht="15.75">
      <c r="A75" s="1">
        <v>73</v>
      </c>
      <c r="B75" s="5">
        <v>200</v>
      </c>
      <c r="C75" s="5">
        <v>600</v>
      </c>
      <c r="D75" s="1">
        <v>185.18518518518516</v>
      </c>
      <c r="E75" s="5">
        <v>1200.7</v>
      </c>
      <c r="F75" s="5">
        <v>5.9</v>
      </c>
      <c r="G75" s="5"/>
      <c r="H75" s="5">
        <v>60</v>
      </c>
      <c r="I75" s="5">
        <v>30</v>
      </c>
      <c r="J75" s="5">
        <v>60</v>
      </c>
      <c r="K75" s="1" t="s">
        <v>8</v>
      </c>
      <c r="L75" s="1">
        <v>67</v>
      </c>
      <c r="M75" s="5">
        <v>70</v>
      </c>
      <c r="N75" s="6" t="s">
        <v>33</v>
      </c>
      <c r="O75" s="8"/>
    </row>
    <row r="76" spans="1:15" ht="15.75">
      <c r="A76" s="1">
        <v>74</v>
      </c>
      <c r="B76" s="5">
        <v>200</v>
      </c>
      <c r="C76" s="5">
        <v>800</v>
      </c>
      <c r="D76" s="1">
        <v>138.88888888888889</v>
      </c>
      <c r="E76" s="5">
        <v>1264.0999999999999</v>
      </c>
      <c r="F76" s="5">
        <v>8</v>
      </c>
      <c r="G76" s="5"/>
      <c r="H76" s="5">
        <v>60</v>
      </c>
      <c r="I76" s="5">
        <v>30</v>
      </c>
      <c r="J76" s="5">
        <v>60</v>
      </c>
      <c r="K76" s="1" t="s">
        <v>8</v>
      </c>
      <c r="L76" s="1">
        <v>67</v>
      </c>
      <c r="M76" s="5">
        <v>70</v>
      </c>
      <c r="N76" s="6" t="s">
        <v>33</v>
      </c>
      <c r="O76" s="1"/>
    </row>
    <row r="77" spans="1:15" ht="15.75">
      <c r="A77" s="1">
        <v>75</v>
      </c>
      <c r="B77" s="5">
        <v>250</v>
      </c>
      <c r="C77" s="5">
        <v>1000</v>
      </c>
      <c r="D77" s="1">
        <v>138.88888888888889</v>
      </c>
      <c r="E77" s="5">
        <v>1305.5999999999999</v>
      </c>
      <c r="F77" s="5">
        <v>1.6</v>
      </c>
      <c r="G77" s="5"/>
      <c r="H77" s="5">
        <v>60</v>
      </c>
      <c r="I77" s="5">
        <v>30</v>
      </c>
      <c r="J77" s="5">
        <v>60</v>
      </c>
      <c r="K77" s="1" t="s">
        <v>8</v>
      </c>
      <c r="L77" s="1">
        <v>67</v>
      </c>
      <c r="M77" s="5">
        <v>70</v>
      </c>
      <c r="N77" s="6" t="s">
        <v>33</v>
      </c>
      <c r="O77" s="8"/>
    </row>
    <row r="78" spans="1:15" ht="15.75">
      <c r="A78" s="1">
        <v>76</v>
      </c>
      <c r="B78" s="5">
        <v>300</v>
      </c>
      <c r="C78" s="5">
        <v>1000</v>
      </c>
      <c r="D78" s="1">
        <v>166.66666666666666</v>
      </c>
      <c r="E78" s="5">
        <v>1241.9000000000001</v>
      </c>
      <c r="F78" s="5">
        <v>2.4</v>
      </c>
      <c r="G78" s="5"/>
      <c r="H78" s="5">
        <v>60</v>
      </c>
      <c r="I78" s="5">
        <v>30</v>
      </c>
      <c r="J78" s="5">
        <v>60</v>
      </c>
      <c r="K78" s="1" t="s">
        <v>8</v>
      </c>
      <c r="L78" s="1">
        <v>67</v>
      </c>
      <c r="M78" s="5">
        <v>70</v>
      </c>
      <c r="N78" s="6" t="s">
        <v>33</v>
      </c>
      <c r="O78" s="1"/>
    </row>
    <row r="79" spans="1:15" ht="15.75">
      <c r="A79" s="1">
        <v>77</v>
      </c>
      <c r="B79" s="5">
        <v>68</v>
      </c>
      <c r="C79" s="5">
        <v>620</v>
      </c>
      <c r="D79" s="1">
        <v>45.6989247311828</v>
      </c>
      <c r="E79" s="5">
        <v>990</v>
      </c>
      <c r="F79" s="5">
        <v>10.199999999999999</v>
      </c>
      <c r="G79" s="1" t="s">
        <v>7</v>
      </c>
      <c r="H79" s="5">
        <v>34.200000000000003</v>
      </c>
      <c r="I79" s="5">
        <v>30</v>
      </c>
      <c r="J79" s="5">
        <v>80</v>
      </c>
      <c r="K79" s="5"/>
      <c r="L79" s="5"/>
      <c r="M79" s="5">
        <v>80</v>
      </c>
      <c r="N79" s="6" t="s">
        <v>33</v>
      </c>
      <c r="O79" s="8"/>
    </row>
    <row r="80" spans="1:15" ht="15.75">
      <c r="A80" s="1">
        <v>78</v>
      </c>
      <c r="B80" s="5">
        <v>88</v>
      </c>
      <c r="C80" s="5">
        <v>620</v>
      </c>
      <c r="D80" s="1">
        <v>59.139784946236567</v>
      </c>
      <c r="E80" s="5">
        <v>878</v>
      </c>
      <c r="F80" s="5">
        <v>7.2</v>
      </c>
      <c r="G80" s="1" t="s">
        <v>7</v>
      </c>
      <c r="H80" s="5">
        <v>34.200000000000003</v>
      </c>
      <c r="I80" s="5">
        <v>30</v>
      </c>
      <c r="J80" s="5">
        <v>80</v>
      </c>
      <c r="K80" s="5"/>
      <c r="L80" s="5"/>
      <c r="M80" s="5">
        <v>80</v>
      </c>
      <c r="N80" s="6" t="s">
        <v>33</v>
      </c>
      <c r="O80" s="1"/>
    </row>
    <row r="81" spans="1:15" ht="15.75">
      <c r="A81" s="1">
        <v>79</v>
      </c>
      <c r="B81" s="5">
        <v>108</v>
      </c>
      <c r="C81" s="5">
        <v>620</v>
      </c>
      <c r="D81" s="1">
        <v>72.580645161290334</v>
      </c>
      <c r="E81" s="5">
        <v>1037</v>
      </c>
      <c r="F81" s="5">
        <v>7.2</v>
      </c>
      <c r="G81" s="1" t="s">
        <v>7</v>
      </c>
      <c r="H81" s="5">
        <v>34.200000000000003</v>
      </c>
      <c r="I81" s="5">
        <v>30</v>
      </c>
      <c r="J81" s="5">
        <v>80</v>
      </c>
      <c r="K81" s="5"/>
      <c r="L81" s="5"/>
      <c r="M81" s="5">
        <v>80</v>
      </c>
      <c r="N81" s="6" t="s">
        <v>33</v>
      </c>
      <c r="O81" s="8"/>
    </row>
    <row r="82" spans="1:15" ht="15.75">
      <c r="A82" s="1">
        <v>80</v>
      </c>
      <c r="B82" s="5">
        <v>108</v>
      </c>
      <c r="C82" s="5">
        <v>520</v>
      </c>
      <c r="D82" s="1">
        <v>86.538461538461533</v>
      </c>
      <c r="E82" s="5">
        <v>794</v>
      </c>
      <c r="F82" s="5">
        <v>6.8</v>
      </c>
      <c r="G82" s="1" t="s">
        <v>7</v>
      </c>
      <c r="H82" s="5">
        <v>34.200000000000003</v>
      </c>
      <c r="I82" s="5">
        <v>30</v>
      </c>
      <c r="J82" s="5">
        <v>80</v>
      </c>
      <c r="K82" s="5"/>
      <c r="L82" s="5"/>
      <c r="M82" s="5">
        <v>80</v>
      </c>
      <c r="N82" s="6" t="s">
        <v>33</v>
      </c>
      <c r="O82" s="1"/>
    </row>
    <row r="83" spans="1:15" ht="15.75">
      <c r="A83" s="1">
        <v>81</v>
      </c>
      <c r="B83" s="5">
        <v>108</v>
      </c>
      <c r="C83" s="5">
        <v>570</v>
      </c>
      <c r="D83" s="1">
        <v>78.947368421052644</v>
      </c>
      <c r="E83" s="5">
        <v>937</v>
      </c>
      <c r="F83" s="5">
        <v>7.9</v>
      </c>
      <c r="G83" s="1" t="s">
        <v>7</v>
      </c>
      <c r="H83" s="5">
        <v>34.200000000000003</v>
      </c>
      <c r="I83" s="5">
        <v>30</v>
      </c>
      <c r="J83" s="5">
        <v>80</v>
      </c>
      <c r="K83" s="5"/>
      <c r="L83" s="5"/>
      <c r="M83" s="5">
        <v>80</v>
      </c>
      <c r="N83" s="6" t="s">
        <v>33</v>
      </c>
      <c r="O83" s="8"/>
    </row>
    <row r="84" spans="1:15" ht="15.75">
      <c r="A84" s="1">
        <v>82</v>
      </c>
      <c r="B84" s="5">
        <v>108</v>
      </c>
      <c r="C84" s="5">
        <v>670</v>
      </c>
      <c r="D84" s="1">
        <v>67.164179104477611</v>
      </c>
      <c r="E84" s="5">
        <v>866</v>
      </c>
      <c r="F84" s="5">
        <v>7.1</v>
      </c>
      <c r="G84" s="1" t="s">
        <v>7</v>
      </c>
      <c r="H84" s="5">
        <v>34.200000000000003</v>
      </c>
      <c r="I84" s="5">
        <v>30</v>
      </c>
      <c r="J84" s="5">
        <v>80</v>
      </c>
      <c r="K84" s="5"/>
      <c r="L84" s="5"/>
      <c r="M84" s="5">
        <v>80</v>
      </c>
      <c r="N84" s="6" t="s">
        <v>33</v>
      </c>
      <c r="O84" s="1"/>
    </row>
    <row r="85" spans="1:15" ht="15.75">
      <c r="A85" s="1">
        <v>83</v>
      </c>
      <c r="B85" s="5">
        <v>108</v>
      </c>
      <c r="C85" s="5">
        <v>720</v>
      </c>
      <c r="D85" s="1">
        <v>62.500000000000007</v>
      </c>
      <c r="E85" s="5">
        <v>845</v>
      </c>
      <c r="F85" s="5">
        <v>8</v>
      </c>
      <c r="G85" s="1" t="s">
        <v>7</v>
      </c>
      <c r="H85" s="5">
        <v>34.200000000000003</v>
      </c>
      <c r="I85" s="5">
        <v>30</v>
      </c>
      <c r="J85" s="5">
        <v>80</v>
      </c>
      <c r="K85" s="5"/>
      <c r="L85" s="5"/>
      <c r="M85" s="5">
        <v>80</v>
      </c>
      <c r="N85" s="6" t="s">
        <v>33</v>
      </c>
      <c r="O85" s="8"/>
    </row>
    <row r="86" spans="1:15" ht="15.75">
      <c r="A86" s="1">
        <v>84</v>
      </c>
      <c r="B86" s="5">
        <v>108</v>
      </c>
      <c r="C86" s="5">
        <v>620</v>
      </c>
      <c r="D86" s="1">
        <v>96.774193548387103</v>
      </c>
      <c r="E86" s="5">
        <v>952</v>
      </c>
      <c r="F86" s="5">
        <v>6.8</v>
      </c>
      <c r="G86" s="1" t="s">
        <v>7</v>
      </c>
      <c r="H86" s="5">
        <v>34.200000000000003</v>
      </c>
      <c r="I86" s="5">
        <v>30</v>
      </c>
      <c r="J86" s="5">
        <v>60</v>
      </c>
      <c r="K86" s="5"/>
      <c r="L86" s="5"/>
      <c r="M86" s="5">
        <v>80</v>
      </c>
      <c r="N86" s="6" t="s">
        <v>33</v>
      </c>
      <c r="O86" s="1"/>
    </row>
    <row r="87" spans="1:15" ht="15.75">
      <c r="A87" s="1">
        <v>85</v>
      </c>
      <c r="B87" s="5">
        <v>108</v>
      </c>
      <c r="C87" s="5">
        <v>620</v>
      </c>
      <c r="D87" s="1">
        <v>82.949308755760384</v>
      </c>
      <c r="E87" s="5">
        <v>939</v>
      </c>
      <c r="F87" s="5">
        <v>8.1999999999999993</v>
      </c>
      <c r="G87" s="1" t="s">
        <v>7</v>
      </c>
      <c r="H87" s="5">
        <v>34.200000000000003</v>
      </c>
      <c r="I87" s="5">
        <v>30</v>
      </c>
      <c r="J87" s="5">
        <v>70</v>
      </c>
      <c r="K87" s="5"/>
      <c r="L87" s="5"/>
      <c r="M87" s="5">
        <v>80</v>
      </c>
      <c r="N87" s="6" t="s">
        <v>33</v>
      </c>
      <c r="O87" s="8"/>
    </row>
    <row r="88" spans="1:15" ht="15.75">
      <c r="A88" s="1">
        <v>86</v>
      </c>
      <c r="B88" s="5">
        <v>108</v>
      </c>
      <c r="C88" s="5">
        <v>620</v>
      </c>
      <c r="D88" s="1">
        <v>64.516129032258078</v>
      </c>
      <c r="E88" s="5">
        <v>921</v>
      </c>
      <c r="F88" s="5">
        <v>7.3</v>
      </c>
      <c r="G88" s="1" t="s">
        <v>7</v>
      </c>
      <c r="H88" s="5">
        <v>34.200000000000003</v>
      </c>
      <c r="I88" s="5">
        <v>30</v>
      </c>
      <c r="J88" s="5">
        <v>90</v>
      </c>
      <c r="K88" s="5"/>
      <c r="L88" s="5"/>
      <c r="M88" s="5">
        <v>80</v>
      </c>
      <c r="N88" s="6" t="s">
        <v>33</v>
      </c>
      <c r="O88" s="1"/>
    </row>
    <row r="89" spans="1:15" ht="15.75">
      <c r="A89" s="1">
        <v>87</v>
      </c>
      <c r="B89" s="5">
        <v>108</v>
      </c>
      <c r="C89" s="5">
        <v>620</v>
      </c>
      <c r="D89" s="1">
        <v>58.064516129032263</v>
      </c>
      <c r="E89" s="5">
        <v>813</v>
      </c>
      <c r="F89" s="5">
        <v>7.4</v>
      </c>
      <c r="G89" s="1" t="s">
        <v>7</v>
      </c>
      <c r="H89" s="5">
        <v>34.200000000000003</v>
      </c>
      <c r="I89" s="5">
        <v>30</v>
      </c>
      <c r="J89" s="5">
        <v>100</v>
      </c>
      <c r="K89" s="5"/>
      <c r="L89" s="5"/>
      <c r="M89" s="5">
        <v>80</v>
      </c>
      <c r="N89" s="6" t="s">
        <v>33</v>
      </c>
      <c r="O89" s="8"/>
    </row>
    <row r="90" spans="1:15" ht="15.75">
      <c r="A90" s="1">
        <v>88</v>
      </c>
      <c r="B90" s="5">
        <v>128</v>
      </c>
      <c r="C90" s="5">
        <v>620</v>
      </c>
      <c r="D90" s="1">
        <v>86.021505376344095</v>
      </c>
      <c r="E90" s="5">
        <v>968</v>
      </c>
      <c r="F90" s="5">
        <v>8.6999999999999993</v>
      </c>
      <c r="G90" s="1" t="s">
        <v>7</v>
      </c>
      <c r="H90" s="5">
        <v>34.200000000000003</v>
      </c>
      <c r="I90" s="5">
        <v>30</v>
      </c>
      <c r="J90" s="5">
        <v>80</v>
      </c>
      <c r="K90" s="5"/>
      <c r="L90" s="5"/>
      <c r="M90" s="5">
        <v>80</v>
      </c>
      <c r="N90" s="6" t="s">
        <v>33</v>
      </c>
      <c r="O90" s="1"/>
    </row>
    <row r="91" spans="1:15" ht="15.75">
      <c r="A91" s="1">
        <v>89</v>
      </c>
      <c r="B91" s="5">
        <v>148</v>
      </c>
      <c r="C91" s="5">
        <v>620</v>
      </c>
      <c r="D91" s="1">
        <v>99.462365591397869</v>
      </c>
      <c r="E91" s="5">
        <v>905</v>
      </c>
      <c r="F91" s="5">
        <v>7.4</v>
      </c>
      <c r="G91" s="1" t="s">
        <v>7</v>
      </c>
      <c r="H91" s="5">
        <v>34.200000000000003</v>
      </c>
      <c r="I91" s="5">
        <v>30</v>
      </c>
      <c r="J91" s="5">
        <v>80</v>
      </c>
      <c r="K91" s="5"/>
      <c r="L91" s="5"/>
      <c r="M91" s="5">
        <v>80</v>
      </c>
      <c r="N91" s="6" t="s">
        <v>33</v>
      </c>
      <c r="O91" s="8"/>
    </row>
    <row r="92" spans="1:15" ht="15.75">
      <c r="A92" s="1">
        <v>90</v>
      </c>
      <c r="B92" s="5">
        <v>75</v>
      </c>
      <c r="C92" s="5">
        <v>400</v>
      </c>
      <c r="D92" s="1">
        <v>38.109756097560975</v>
      </c>
      <c r="E92" s="5">
        <v>848.6</v>
      </c>
      <c r="F92" s="5">
        <v>1.262</v>
      </c>
      <c r="G92" s="5"/>
      <c r="H92" s="5">
        <v>31.9</v>
      </c>
      <c r="I92" s="5">
        <v>60</v>
      </c>
      <c r="J92" s="5">
        <v>82</v>
      </c>
      <c r="K92" s="5"/>
      <c r="L92" s="1">
        <v>245</v>
      </c>
      <c r="M92" s="5">
        <v>80</v>
      </c>
      <c r="N92" s="6" t="s">
        <v>33</v>
      </c>
      <c r="O92" s="1"/>
    </row>
    <row r="93" spans="1:15" ht="15.75">
      <c r="A93" s="1">
        <v>91</v>
      </c>
      <c r="B93" s="5">
        <v>115</v>
      </c>
      <c r="C93" s="5">
        <v>400</v>
      </c>
      <c r="D93" s="1">
        <v>58.434959349593498</v>
      </c>
      <c r="E93" s="5">
        <v>954</v>
      </c>
      <c r="F93" s="5">
        <v>4.3760000000000003</v>
      </c>
      <c r="G93" s="5"/>
      <c r="H93" s="5">
        <v>31.9</v>
      </c>
      <c r="I93" s="5">
        <v>60</v>
      </c>
      <c r="J93" s="5">
        <v>82</v>
      </c>
      <c r="K93" s="5"/>
      <c r="L93" s="1">
        <v>245</v>
      </c>
      <c r="M93" s="5">
        <v>80</v>
      </c>
      <c r="N93" s="6" t="s">
        <v>33</v>
      </c>
      <c r="O93" s="8"/>
    </row>
    <row r="94" spans="1:15" ht="15.75">
      <c r="A94" s="1">
        <v>92</v>
      </c>
      <c r="B94" s="5">
        <v>115</v>
      </c>
      <c r="C94" s="5">
        <v>600</v>
      </c>
      <c r="D94" s="1">
        <v>38.956639566395665</v>
      </c>
      <c r="E94" s="5">
        <v>1040.4000000000001</v>
      </c>
      <c r="F94" s="5">
        <v>3.05</v>
      </c>
      <c r="G94" s="5"/>
      <c r="H94" s="5">
        <v>31.9</v>
      </c>
      <c r="I94" s="5">
        <v>60</v>
      </c>
      <c r="J94" s="5">
        <v>82</v>
      </c>
      <c r="K94" s="5"/>
      <c r="L94" s="1">
        <v>245</v>
      </c>
      <c r="M94" s="5">
        <v>80</v>
      </c>
      <c r="N94" s="6" t="s">
        <v>33</v>
      </c>
      <c r="O94" s="1"/>
    </row>
    <row r="95" spans="1:15" ht="15.75">
      <c r="A95" s="1">
        <v>93</v>
      </c>
      <c r="B95" s="5">
        <v>135</v>
      </c>
      <c r="C95" s="5">
        <v>400</v>
      </c>
      <c r="D95" s="1">
        <v>68.597560975609753</v>
      </c>
      <c r="E95" s="5">
        <v>969.4</v>
      </c>
      <c r="F95" s="5">
        <v>7.5714199999999998</v>
      </c>
      <c r="G95" s="5"/>
      <c r="H95" s="5">
        <v>31.9</v>
      </c>
      <c r="I95" s="5">
        <v>60</v>
      </c>
      <c r="J95" s="5">
        <v>82</v>
      </c>
      <c r="K95" s="5"/>
      <c r="L95" s="1">
        <v>245</v>
      </c>
      <c r="M95" s="5">
        <v>80</v>
      </c>
      <c r="N95" s="6" t="s">
        <v>33</v>
      </c>
      <c r="O95" s="8"/>
    </row>
    <row r="96" spans="1:15" ht="15.75">
      <c r="A96" s="1">
        <v>94</v>
      </c>
      <c r="B96" s="5">
        <v>155</v>
      </c>
      <c r="C96" s="5">
        <v>400</v>
      </c>
      <c r="D96" s="1">
        <v>78.760162601626021</v>
      </c>
      <c r="E96" s="5">
        <v>964.8</v>
      </c>
      <c r="F96" s="5">
        <v>5.1029999999999998</v>
      </c>
      <c r="G96" s="5"/>
      <c r="H96" s="5">
        <v>31.9</v>
      </c>
      <c r="I96" s="5">
        <v>60</v>
      </c>
      <c r="J96" s="5">
        <v>82</v>
      </c>
      <c r="K96" s="5"/>
      <c r="L96" s="1">
        <v>245</v>
      </c>
      <c r="M96" s="5">
        <v>80</v>
      </c>
      <c r="N96" s="6" t="s">
        <v>33</v>
      </c>
      <c r="O96" s="1"/>
    </row>
    <row r="97" spans="1:15" ht="15.75">
      <c r="A97" s="1">
        <v>95</v>
      </c>
      <c r="B97" s="5">
        <v>175</v>
      </c>
      <c r="C97" s="5">
        <v>800</v>
      </c>
      <c r="D97" s="1">
        <v>44.461382113821138</v>
      </c>
      <c r="E97" s="5">
        <v>1091.1402545467199</v>
      </c>
      <c r="F97" s="5">
        <v>12.385300000000001</v>
      </c>
      <c r="G97" s="5"/>
      <c r="H97" s="5">
        <v>31.9</v>
      </c>
      <c r="I97" s="5">
        <v>60</v>
      </c>
      <c r="J97" s="5">
        <v>82</v>
      </c>
      <c r="K97" s="5"/>
      <c r="L97" s="1">
        <v>245</v>
      </c>
      <c r="M97" s="5">
        <v>80</v>
      </c>
      <c r="N97" s="6" t="s">
        <v>33</v>
      </c>
      <c r="O97" s="8"/>
    </row>
    <row r="98" spans="1:15" ht="15.75">
      <c r="A98" s="1">
        <v>96</v>
      </c>
      <c r="B98" s="5">
        <v>175</v>
      </c>
      <c r="C98" s="5">
        <v>600</v>
      </c>
      <c r="D98" s="1">
        <v>59.281842818428188</v>
      </c>
      <c r="E98" s="5">
        <v>1046</v>
      </c>
      <c r="F98" s="5">
        <v>8.5519999999999996</v>
      </c>
      <c r="G98" s="5"/>
      <c r="H98" s="5">
        <v>31.9</v>
      </c>
      <c r="I98" s="5">
        <v>60</v>
      </c>
      <c r="J98" s="5">
        <v>82</v>
      </c>
      <c r="K98" s="5"/>
      <c r="L98" s="1">
        <v>245</v>
      </c>
      <c r="M98" s="5">
        <v>80</v>
      </c>
      <c r="N98" s="6" t="s">
        <v>33</v>
      </c>
      <c r="O98" s="1"/>
    </row>
    <row r="99" spans="1:15" ht="15.75">
      <c r="A99" s="1">
        <v>97</v>
      </c>
      <c r="B99" s="5">
        <v>195</v>
      </c>
      <c r="C99" s="5">
        <v>800</v>
      </c>
      <c r="D99" s="1">
        <v>49.542682926829272</v>
      </c>
      <c r="E99" s="5">
        <v>1084.6196116198801</v>
      </c>
      <c r="F99" s="5">
        <v>12.5313</v>
      </c>
      <c r="G99" s="5"/>
      <c r="H99" s="5">
        <v>31.9</v>
      </c>
      <c r="I99" s="5">
        <v>60</v>
      </c>
      <c r="J99" s="5">
        <v>82</v>
      </c>
      <c r="K99" s="5"/>
      <c r="L99" s="1">
        <v>245</v>
      </c>
      <c r="M99" s="5">
        <v>80</v>
      </c>
      <c r="N99" s="6" t="s">
        <v>33</v>
      </c>
      <c r="O99" s="8"/>
    </row>
    <row r="100" spans="1:15" ht="15.75">
      <c r="A100" s="1">
        <v>98</v>
      </c>
      <c r="B100" s="5">
        <v>195</v>
      </c>
      <c r="C100" s="5">
        <v>1000</v>
      </c>
      <c r="D100" s="1">
        <v>39.634146341463413</v>
      </c>
      <c r="E100" s="5">
        <v>1110.8</v>
      </c>
      <c r="F100" s="5">
        <v>14.22</v>
      </c>
      <c r="G100" s="5"/>
      <c r="H100" s="5">
        <v>31.9</v>
      </c>
      <c r="I100" s="5">
        <v>60</v>
      </c>
      <c r="J100" s="5">
        <v>82</v>
      </c>
      <c r="K100" s="5"/>
      <c r="L100" s="1">
        <v>245</v>
      </c>
      <c r="M100" s="5">
        <v>80</v>
      </c>
      <c r="N100" s="6" t="s">
        <v>33</v>
      </c>
      <c r="O100" s="1"/>
    </row>
    <row r="101" spans="1:15" ht="15.75">
      <c r="A101" s="1">
        <v>99</v>
      </c>
      <c r="B101" s="5">
        <v>205</v>
      </c>
      <c r="C101" s="5">
        <v>600</v>
      </c>
      <c r="D101" s="1">
        <v>69.444444444444443</v>
      </c>
      <c r="E101" s="5">
        <v>1014.8</v>
      </c>
      <c r="F101" s="5">
        <v>8.0277799999999999</v>
      </c>
      <c r="G101" s="5"/>
      <c r="H101" s="5">
        <v>31.9</v>
      </c>
      <c r="I101" s="5">
        <v>60</v>
      </c>
      <c r="J101" s="5">
        <v>82</v>
      </c>
      <c r="K101" s="5"/>
      <c r="L101" s="1">
        <v>245</v>
      </c>
      <c r="M101" s="5">
        <v>80</v>
      </c>
      <c r="N101" s="6" t="s">
        <v>33</v>
      </c>
      <c r="O101" s="8"/>
    </row>
    <row r="102" spans="1:15" ht="15.75">
      <c r="A102" s="1">
        <v>100</v>
      </c>
      <c r="B102" s="5">
        <v>215</v>
      </c>
      <c r="C102" s="5">
        <v>800</v>
      </c>
      <c r="D102" s="1">
        <v>54.623983739837399</v>
      </c>
      <c r="E102" s="5">
        <v>1076.35675473112</v>
      </c>
      <c r="F102" s="5">
        <v>12.81644</v>
      </c>
      <c r="G102" s="5"/>
      <c r="H102" s="5">
        <v>31.9</v>
      </c>
      <c r="I102" s="5">
        <v>60</v>
      </c>
      <c r="J102" s="5">
        <v>82</v>
      </c>
      <c r="K102" s="5"/>
      <c r="L102" s="1">
        <v>245</v>
      </c>
      <c r="M102" s="5">
        <v>80</v>
      </c>
      <c r="N102" s="6" t="s">
        <v>33</v>
      </c>
      <c r="O102" s="1"/>
    </row>
    <row r="103" spans="1:15" ht="15.75">
      <c r="A103" s="1">
        <v>101</v>
      </c>
      <c r="B103" s="5">
        <v>235</v>
      </c>
      <c r="C103" s="5">
        <v>800</v>
      </c>
      <c r="D103" s="1">
        <v>59.705284552845526</v>
      </c>
      <c r="E103" s="5">
        <v>1055.8</v>
      </c>
      <c r="F103" s="5">
        <v>11.86186</v>
      </c>
      <c r="G103" s="5"/>
      <c r="H103" s="5">
        <v>31.9</v>
      </c>
      <c r="I103" s="5">
        <v>60</v>
      </c>
      <c r="J103" s="5">
        <v>82</v>
      </c>
      <c r="K103" s="5"/>
      <c r="L103" s="1">
        <v>245</v>
      </c>
      <c r="M103" s="5">
        <v>80</v>
      </c>
      <c r="N103" s="6" t="s">
        <v>33</v>
      </c>
      <c r="O103" s="8"/>
    </row>
    <row r="104" spans="1:15" ht="15.75">
      <c r="A104" s="1">
        <v>102</v>
      </c>
      <c r="B104" s="5">
        <v>235</v>
      </c>
      <c r="C104" s="5">
        <v>600</v>
      </c>
      <c r="D104" s="1">
        <v>79.607046070460711</v>
      </c>
      <c r="E104" s="5">
        <v>1003</v>
      </c>
      <c r="F104" s="5">
        <v>7.7921199999999997</v>
      </c>
      <c r="G104" s="5"/>
      <c r="H104" s="5">
        <v>31.9</v>
      </c>
      <c r="I104" s="5">
        <v>60</v>
      </c>
      <c r="J104" s="5">
        <v>82</v>
      </c>
      <c r="K104" s="5"/>
      <c r="L104" s="1">
        <v>245</v>
      </c>
      <c r="M104" s="5">
        <v>80</v>
      </c>
      <c r="N104" s="6" t="s">
        <v>33</v>
      </c>
      <c r="O104" s="1"/>
    </row>
    <row r="105" spans="1:15" ht="15.75">
      <c r="A105" s="1">
        <v>103</v>
      </c>
      <c r="B105" s="5">
        <v>235</v>
      </c>
      <c r="C105" s="5">
        <v>1200</v>
      </c>
      <c r="D105" s="1">
        <v>39.803523035230356</v>
      </c>
      <c r="E105" s="5">
        <v>1113</v>
      </c>
      <c r="F105" s="5">
        <v>15.382</v>
      </c>
      <c r="G105" s="5"/>
      <c r="H105" s="5">
        <v>31.9</v>
      </c>
      <c r="I105" s="5">
        <v>60</v>
      </c>
      <c r="J105" s="5">
        <v>82</v>
      </c>
      <c r="K105" s="5"/>
      <c r="L105" s="1">
        <v>245</v>
      </c>
      <c r="M105" s="5">
        <v>80</v>
      </c>
      <c r="N105" s="6" t="s">
        <v>33</v>
      </c>
      <c r="O105" s="8"/>
    </row>
    <row r="106" spans="1:15" ht="15.75">
      <c r="A106" s="1">
        <v>104</v>
      </c>
      <c r="B106" s="5">
        <v>255</v>
      </c>
      <c r="C106" s="5">
        <v>800</v>
      </c>
      <c r="D106" s="1">
        <v>64.786585365853654</v>
      </c>
      <c r="E106" s="5">
        <v>1041</v>
      </c>
      <c r="F106" s="5">
        <v>10.710660000000001</v>
      </c>
      <c r="G106" s="5"/>
      <c r="H106" s="5">
        <v>31.9</v>
      </c>
      <c r="I106" s="5">
        <v>60</v>
      </c>
      <c r="J106" s="5">
        <v>82</v>
      </c>
      <c r="K106" s="5"/>
      <c r="L106" s="1">
        <v>245</v>
      </c>
      <c r="M106" s="5">
        <v>80</v>
      </c>
      <c r="N106" s="6" t="s">
        <v>33</v>
      </c>
      <c r="O106" s="1"/>
    </row>
    <row r="107" spans="1:15" ht="15.75">
      <c r="A107" s="1">
        <v>105</v>
      </c>
      <c r="B107" s="5">
        <v>275</v>
      </c>
      <c r="C107" s="5">
        <v>800</v>
      </c>
      <c r="D107" s="1">
        <v>69.867886178861795</v>
      </c>
      <c r="E107" s="5">
        <v>1020.8</v>
      </c>
      <c r="F107" s="5">
        <v>10.696960000000001</v>
      </c>
      <c r="G107" s="5"/>
      <c r="H107" s="5">
        <v>31.9</v>
      </c>
      <c r="I107" s="5">
        <v>60</v>
      </c>
      <c r="J107" s="5">
        <v>82</v>
      </c>
      <c r="K107" s="5"/>
      <c r="L107" s="1">
        <v>245</v>
      </c>
      <c r="M107" s="5">
        <v>80</v>
      </c>
      <c r="N107" s="6" t="s">
        <v>33</v>
      </c>
      <c r="O107" s="8"/>
    </row>
    <row r="108" spans="1:15" ht="15.75">
      <c r="A108" s="1">
        <v>106</v>
      </c>
      <c r="B108" s="5">
        <v>275</v>
      </c>
      <c r="C108" s="5">
        <v>760</v>
      </c>
      <c r="D108" s="1">
        <v>73.545143346170306</v>
      </c>
      <c r="E108" s="5">
        <v>1008.24079320832</v>
      </c>
      <c r="F108" s="5">
        <v>9.1941199999999998</v>
      </c>
      <c r="G108" s="5"/>
      <c r="H108" s="5">
        <v>31.9</v>
      </c>
      <c r="I108" s="5">
        <v>60</v>
      </c>
      <c r="J108" s="5">
        <v>82</v>
      </c>
      <c r="K108" s="5"/>
      <c r="L108" s="1">
        <v>245</v>
      </c>
      <c r="M108" s="5">
        <v>80</v>
      </c>
      <c r="N108" s="6" t="s">
        <v>33</v>
      </c>
      <c r="O108" s="1"/>
    </row>
    <row r="109" spans="1:15" ht="15.75">
      <c r="A109" s="1">
        <v>107</v>
      </c>
      <c r="B109" s="5">
        <v>275</v>
      </c>
      <c r="C109" s="5">
        <v>720</v>
      </c>
      <c r="D109" s="1">
        <v>77.630984643179772</v>
      </c>
      <c r="E109" s="5">
        <v>991.75554757822204</v>
      </c>
      <c r="F109" s="5">
        <v>8.9837000000000007</v>
      </c>
      <c r="G109" s="5"/>
      <c r="H109" s="5">
        <v>31.9</v>
      </c>
      <c r="I109" s="5">
        <v>60</v>
      </c>
      <c r="J109" s="5">
        <v>82</v>
      </c>
      <c r="K109" s="5"/>
      <c r="L109" s="1">
        <v>245</v>
      </c>
      <c r="M109" s="5">
        <v>80</v>
      </c>
      <c r="N109" s="6" t="s">
        <v>33</v>
      </c>
      <c r="O109" s="8"/>
    </row>
    <row r="110" spans="1:15" ht="15.75">
      <c r="A110" s="1">
        <v>108</v>
      </c>
      <c r="B110" s="5">
        <v>275</v>
      </c>
      <c r="C110" s="5">
        <v>680</v>
      </c>
      <c r="D110" s="1">
        <v>82.197513151602095</v>
      </c>
      <c r="E110" s="5">
        <v>1009.01618145961</v>
      </c>
      <c r="F110" s="5">
        <v>8.4973749999999999</v>
      </c>
      <c r="G110" s="5"/>
      <c r="H110" s="5">
        <v>31.9</v>
      </c>
      <c r="I110" s="5">
        <v>60</v>
      </c>
      <c r="J110" s="5">
        <v>82</v>
      </c>
      <c r="K110" s="5"/>
      <c r="L110" s="1">
        <v>245</v>
      </c>
      <c r="M110" s="5">
        <v>80</v>
      </c>
      <c r="N110" s="6" t="s">
        <v>33</v>
      </c>
      <c r="O110" s="1"/>
    </row>
    <row r="111" spans="1:15" ht="15.75">
      <c r="A111" s="1">
        <v>109</v>
      </c>
      <c r="B111" s="5">
        <v>275</v>
      </c>
      <c r="C111" s="5">
        <v>640</v>
      </c>
      <c r="D111" s="1">
        <v>87.33485772357723</v>
      </c>
      <c r="E111" s="5">
        <v>994.56877303380202</v>
      </c>
      <c r="F111" s="5">
        <v>7.2253400000000001</v>
      </c>
      <c r="G111" s="5"/>
      <c r="H111" s="5">
        <v>31.9</v>
      </c>
      <c r="I111" s="5">
        <v>60</v>
      </c>
      <c r="J111" s="5">
        <v>82</v>
      </c>
      <c r="K111" s="5"/>
      <c r="L111" s="1">
        <v>245</v>
      </c>
      <c r="M111" s="5">
        <v>80</v>
      </c>
      <c r="N111" s="6" t="s">
        <v>33</v>
      </c>
      <c r="O111" s="8"/>
    </row>
    <row r="112" spans="1:15" ht="15.75">
      <c r="A112" s="1">
        <v>110</v>
      </c>
      <c r="B112" s="5">
        <v>275</v>
      </c>
      <c r="C112" s="5">
        <v>600</v>
      </c>
      <c r="D112" s="1">
        <v>93.157181571815713</v>
      </c>
      <c r="E112" s="5">
        <v>982.17820286009101</v>
      </c>
      <c r="F112" s="5">
        <v>6.9504999999999999</v>
      </c>
      <c r="G112" s="5"/>
      <c r="H112" s="5">
        <v>31.9</v>
      </c>
      <c r="I112" s="5">
        <v>60</v>
      </c>
      <c r="J112" s="5">
        <v>82</v>
      </c>
      <c r="K112" s="5"/>
      <c r="L112" s="1">
        <v>245</v>
      </c>
      <c r="M112" s="5">
        <v>80</v>
      </c>
      <c r="N112" s="6" t="s">
        <v>33</v>
      </c>
      <c r="O112" s="1"/>
    </row>
    <row r="113" spans="1:15" ht="15.75">
      <c r="A113" s="1">
        <v>111</v>
      </c>
      <c r="B113" s="5">
        <v>275</v>
      </c>
      <c r="C113" s="5">
        <v>840</v>
      </c>
      <c r="D113" s="1">
        <v>66.54084397986837</v>
      </c>
      <c r="E113" s="5">
        <v>1037.95662580198</v>
      </c>
      <c r="F113" s="5">
        <v>10.756880000000001</v>
      </c>
      <c r="G113" s="5"/>
      <c r="H113" s="5">
        <v>31.9</v>
      </c>
      <c r="I113" s="5">
        <v>60</v>
      </c>
      <c r="J113" s="5">
        <v>82</v>
      </c>
      <c r="K113" s="5"/>
      <c r="L113" s="1">
        <v>245</v>
      </c>
      <c r="M113" s="5">
        <v>80</v>
      </c>
      <c r="N113" s="6" t="s">
        <v>33</v>
      </c>
      <c r="O113" s="8"/>
    </row>
    <row r="114" spans="1:15" ht="15.75">
      <c r="A114" s="1">
        <v>112</v>
      </c>
      <c r="B114" s="5">
        <v>275</v>
      </c>
      <c r="C114" s="5">
        <v>880</v>
      </c>
      <c r="D114" s="1">
        <v>63.516260162601625</v>
      </c>
      <c r="E114" s="5">
        <v>1052.5999999999999</v>
      </c>
      <c r="F114" s="5">
        <v>11.86782</v>
      </c>
      <c r="G114" s="5"/>
      <c r="H114" s="5">
        <v>31.9</v>
      </c>
      <c r="I114" s="5">
        <v>60</v>
      </c>
      <c r="J114" s="5">
        <v>82</v>
      </c>
      <c r="K114" s="5"/>
      <c r="L114" s="1">
        <v>245</v>
      </c>
      <c r="M114" s="5">
        <v>80</v>
      </c>
      <c r="N114" s="6" t="s">
        <v>33</v>
      </c>
      <c r="O114" s="1"/>
    </row>
    <row r="115" spans="1:15" ht="15.75">
      <c r="A115" s="1">
        <v>113</v>
      </c>
      <c r="B115" s="5">
        <v>275</v>
      </c>
      <c r="C115" s="5">
        <v>920</v>
      </c>
      <c r="D115" s="1">
        <v>60.754683633792865</v>
      </c>
      <c r="E115" s="5">
        <v>1057.75</v>
      </c>
      <c r="F115" s="5">
        <v>12.353325</v>
      </c>
      <c r="G115" s="5"/>
      <c r="H115" s="5">
        <v>31.9</v>
      </c>
      <c r="I115" s="5">
        <v>60</v>
      </c>
      <c r="J115" s="5">
        <v>82</v>
      </c>
      <c r="K115" s="5"/>
      <c r="L115" s="1">
        <v>245</v>
      </c>
      <c r="M115" s="5">
        <v>80</v>
      </c>
      <c r="N115" s="6" t="s">
        <v>33</v>
      </c>
      <c r="O115" s="8"/>
    </row>
    <row r="116" spans="1:15" ht="15.75">
      <c r="A116" s="1">
        <v>114</v>
      </c>
      <c r="B116" s="5">
        <v>275</v>
      </c>
      <c r="C116" s="5">
        <v>960</v>
      </c>
      <c r="D116" s="1">
        <v>58.223238482384822</v>
      </c>
      <c r="E116" s="5">
        <v>1070.06546723254</v>
      </c>
      <c r="F116" s="5">
        <v>14.029820000000001</v>
      </c>
      <c r="G116" s="5"/>
      <c r="H116" s="5">
        <v>31.9</v>
      </c>
      <c r="I116" s="5">
        <v>60</v>
      </c>
      <c r="J116" s="5">
        <v>82</v>
      </c>
      <c r="K116" s="5"/>
      <c r="L116" s="1">
        <v>245</v>
      </c>
      <c r="M116" s="5">
        <v>80</v>
      </c>
      <c r="N116" s="6" t="s">
        <v>33</v>
      </c>
      <c r="O116" s="1"/>
    </row>
    <row r="117" spans="1:15" ht="15.75">
      <c r="A117" s="1">
        <v>115</v>
      </c>
      <c r="B117" s="5">
        <v>275</v>
      </c>
      <c r="C117" s="5">
        <v>1000</v>
      </c>
      <c r="D117" s="1">
        <v>55.894308943089435</v>
      </c>
      <c r="E117" s="5">
        <v>1081.16190173991</v>
      </c>
      <c r="F117" s="5">
        <v>13.90582</v>
      </c>
      <c r="G117" s="5"/>
      <c r="H117" s="5">
        <v>31.9</v>
      </c>
      <c r="I117" s="5">
        <v>60</v>
      </c>
      <c r="J117" s="5">
        <v>82</v>
      </c>
      <c r="K117" s="5"/>
      <c r="L117" s="1">
        <v>245</v>
      </c>
      <c r="M117" s="5">
        <v>80</v>
      </c>
      <c r="N117" s="6" t="s">
        <v>33</v>
      </c>
      <c r="O117" s="8"/>
    </row>
    <row r="118" spans="1:15" ht="15.75">
      <c r="A118" s="1">
        <v>116</v>
      </c>
      <c r="B118" s="5">
        <v>295</v>
      </c>
      <c r="C118" s="5">
        <v>800</v>
      </c>
      <c r="D118" s="1">
        <v>74.949186991869922</v>
      </c>
      <c r="E118" s="5">
        <v>1014</v>
      </c>
      <c r="F118" s="5">
        <v>9.2815399999999997</v>
      </c>
      <c r="G118" s="5"/>
      <c r="H118" s="5">
        <v>31.9</v>
      </c>
      <c r="I118" s="5">
        <v>60</v>
      </c>
      <c r="J118" s="5">
        <v>82</v>
      </c>
      <c r="K118" s="5"/>
      <c r="L118" s="1">
        <v>245</v>
      </c>
      <c r="M118" s="5">
        <v>80</v>
      </c>
      <c r="N118" s="6" t="s">
        <v>33</v>
      </c>
      <c r="O118" s="1"/>
    </row>
    <row r="119" spans="1:15" ht="15.75">
      <c r="A119" s="1">
        <v>117</v>
      </c>
      <c r="B119" s="5">
        <v>295</v>
      </c>
      <c r="C119" s="5">
        <v>1000</v>
      </c>
      <c r="D119" s="1">
        <v>59.959349593495936</v>
      </c>
      <c r="E119" s="5">
        <v>1074.2</v>
      </c>
      <c r="F119" s="5">
        <v>13.464</v>
      </c>
      <c r="G119" s="5"/>
      <c r="H119" s="5">
        <v>31.9</v>
      </c>
      <c r="I119" s="5">
        <v>60</v>
      </c>
      <c r="J119" s="5">
        <v>82</v>
      </c>
      <c r="K119" s="5"/>
      <c r="L119" s="1">
        <v>245</v>
      </c>
      <c r="M119" s="5">
        <v>80</v>
      </c>
      <c r="N119" s="6" t="s">
        <v>33</v>
      </c>
      <c r="O119" s="8"/>
    </row>
    <row r="120" spans="1:15" ht="15.75">
      <c r="A120" s="1">
        <v>118</v>
      </c>
      <c r="B120" s="5">
        <v>315</v>
      </c>
      <c r="C120" s="5">
        <v>800</v>
      </c>
      <c r="D120" s="1">
        <v>80.030487804878049</v>
      </c>
      <c r="E120" s="5">
        <v>1001.2</v>
      </c>
      <c r="F120" s="5">
        <v>9.7011599999999998</v>
      </c>
      <c r="G120" s="5"/>
      <c r="H120" s="5">
        <v>31.9</v>
      </c>
      <c r="I120" s="5">
        <v>60</v>
      </c>
      <c r="J120" s="5">
        <v>82</v>
      </c>
      <c r="K120" s="5"/>
      <c r="L120" s="1">
        <v>245</v>
      </c>
      <c r="M120" s="5">
        <v>80</v>
      </c>
      <c r="N120" s="6" t="s">
        <v>33</v>
      </c>
      <c r="O120" s="1"/>
    </row>
    <row r="121" spans="1:15" ht="15.75">
      <c r="A121" s="1">
        <v>119</v>
      </c>
      <c r="B121" s="5">
        <v>315</v>
      </c>
      <c r="C121" s="5">
        <v>1600</v>
      </c>
      <c r="D121" s="1">
        <v>40.015243902439025</v>
      </c>
      <c r="E121" s="5">
        <v>1078.8</v>
      </c>
      <c r="F121" s="5">
        <v>11.768000000000001</v>
      </c>
      <c r="G121" s="5"/>
      <c r="H121" s="5">
        <v>31.9</v>
      </c>
      <c r="I121" s="5">
        <v>60</v>
      </c>
      <c r="J121" s="5">
        <v>82</v>
      </c>
      <c r="K121" s="5"/>
      <c r="L121" s="1">
        <v>245</v>
      </c>
      <c r="M121" s="5">
        <v>80</v>
      </c>
      <c r="N121" s="6" t="s">
        <v>33</v>
      </c>
      <c r="O121" s="8"/>
    </row>
    <row r="122" spans="1:15" ht="15.75">
      <c r="A122" s="1">
        <v>120</v>
      </c>
      <c r="B122" s="5">
        <v>335</v>
      </c>
      <c r="C122" s="5">
        <v>800</v>
      </c>
      <c r="D122" s="1">
        <v>85.111788617886177</v>
      </c>
      <c r="E122" s="5">
        <v>1002.25232102908</v>
      </c>
      <c r="F122" s="5">
        <v>9.3251799999999996</v>
      </c>
      <c r="G122" s="5"/>
      <c r="H122" s="5">
        <v>31.9</v>
      </c>
      <c r="I122" s="5">
        <v>60</v>
      </c>
      <c r="J122" s="5">
        <v>82</v>
      </c>
      <c r="K122" s="5"/>
      <c r="L122" s="1">
        <v>245</v>
      </c>
      <c r="M122" s="5">
        <v>80</v>
      </c>
      <c r="N122" s="6" t="s">
        <v>33</v>
      </c>
      <c r="O122" s="1"/>
    </row>
    <row r="123" spans="1:15" ht="15.75">
      <c r="A123" s="1">
        <v>121</v>
      </c>
      <c r="B123" s="5">
        <v>345</v>
      </c>
      <c r="C123" s="5">
        <v>1000</v>
      </c>
      <c r="D123" s="1">
        <v>70.121951219512198</v>
      </c>
      <c r="E123" s="5">
        <v>1038.4000000000001</v>
      </c>
      <c r="F123" s="5">
        <v>12.456</v>
      </c>
      <c r="G123" s="5"/>
      <c r="H123" s="5">
        <v>31.9</v>
      </c>
      <c r="I123" s="5">
        <v>60</v>
      </c>
      <c r="J123" s="5">
        <v>82</v>
      </c>
      <c r="K123" s="5"/>
      <c r="L123" s="1">
        <v>245</v>
      </c>
      <c r="M123" s="5">
        <v>80</v>
      </c>
      <c r="N123" s="6" t="s">
        <v>33</v>
      </c>
      <c r="O123" s="8"/>
    </row>
    <row r="124" spans="1:15" ht="15.75">
      <c r="A124" s="1">
        <v>122</v>
      </c>
      <c r="B124" s="5">
        <v>355</v>
      </c>
      <c r="C124" s="5">
        <v>800</v>
      </c>
      <c r="D124" s="1">
        <v>90.193089430894304</v>
      </c>
      <c r="E124" s="5">
        <v>998.39572850678701</v>
      </c>
      <c r="F124" s="5">
        <v>9.3204200000000004</v>
      </c>
      <c r="G124" s="5"/>
      <c r="H124" s="5">
        <v>31.9</v>
      </c>
      <c r="I124" s="5">
        <v>60</v>
      </c>
      <c r="J124" s="5">
        <v>82</v>
      </c>
      <c r="K124" s="5"/>
      <c r="L124" s="1">
        <v>245</v>
      </c>
      <c r="M124" s="5">
        <v>80</v>
      </c>
      <c r="N124" s="6" t="s">
        <v>33</v>
      </c>
      <c r="O124" s="1"/>
    </row>
    <row r="125" spans="1:15" ht="15.75">
      <c r="A125" s="1">
        <v>123</v>
      </c>
      <c r="B125" s="5">
        <v>355</v>
      </c>
      <c r="C125" s="5">
        <v>1200</v>
      </c>
      <c r="D125" s="1">
        <v>60.128726287262872</v>
      </c>
      <c r="E125" s="5">
        <v>1074.5999999999999</v>
      </c>
      <c r="F125" s="5">
        <v>14.086</v>
      </c>
      <c r="G125" s="5"/>
      <c r="H125" s="5">
        <v>31.9</v>
      </c>
      <c r="I125" s="5">
        <v>60</v>
      </c>
      <c r="J125" s="5">
        <v>82</v>
      </c>
      <c r="K125" s="5"/>
      <c r="L125" s="1">
        <v>245</v>
      </c>
      <c r="M125" s="5">
        <v>80</v>
      </c>
      <c r="N125" s="6" t="s">
        <v>33</v>
      </c>
      <c r="O125" s="8"/>
    </row>
    <row r="126" spans="1:15" ht="15.75">
      <c r="A126" s="1">
        <v>124</v>
      </c>
      <c r="B126" s="5">
        <v>375</v>
      </c>
      <c r="C126" s="5">
        <v>800</v>
      </c>
      <c r="D126" s="1">
        <v>95.274390243902445</v>
      </c>
      <c r="E126" s="5">
        <v>995.25476957436797</v>
      </c>
      <c r="F126" s="5">
        <v>9.1956000000000007</v>
      </c>
      <c r="G126" s="5"/>
      <c r="H126" s="5">
        <v>31.9</v>
      </c>
      <c r="I126" s="5">
        <v>60</v>
      </c>
      <c r="J126" s="5">
        <v>82</v>
      </c>
      <c r="K126" s="5"/>
      <c r="L126" s="1">
        <v>245</v>
      </c>
      <c r="M126" s="5">
        <v>80</v>
      </c>
      <c r="N126" s="6" t="s">
        <v>33</v>
      </c>
      <c r="O126" s="1"/>
    </row>
    <row r="127" spans="1:15" ht="15.75">
      <c r="A127" s="1">
        <v>125</v>
      </c>
      <c r="B127" s="5">
        <v>395</v>
      </c>
      <c r="C127" s="5">
        <v>1000</v>
      </c>
      <c r="D127" s="1">
        <v>80.284552845528452</v>
      </c>
      <c r="E127" s="5">
        <v>1036</v>
      </c>
      <c r="F127" s="5">
        <v>12.39354</v>
      </c>
      <c r="G127" s="5"/>
      <c r="H127" s="5">
        <v>31.9</v>
      </c>
      <c r="I127" s="5">
        <v>60</v>
      </c>
      <c r="J127" s="5">
        <v>82</v>
      </c>
      <c r="K127" s="5"/>
      <c r="L127" s="1">
        <v>245</v>
      </c>
      <c r="M127" s="5">
        <v>80</v>
      </c>
      <c r="N127" s="6" t="s">
        <v>33</v>
      </c>
      <c r="O127" s="8"/>
    </row>
    <row r="128" spans="1:15" ht="15.75">
      <c r="A128" s="1">
        <v>126</v>
      </c>
      <c r="B128" s="5">
        <v>415</v>
      </c>
      <c r="C128" s="5">
        <v>1200</v>
      </c>
      <c r="D128" s="1">
        <v>70.291327913279133</v>
      </c>
      <c r="E128" s="5">
        <v>1054</v>
      </c>
      <c r="F128" s="5">
        <v>13.582599999999999</v>
      </c>
      <c r="G128" s="5"/>
      <c r="H128" s="5">
        <v>31.9</v>
      </c>
      <c r="I128" s="5">
        <v>60</v>
      </c>
      <c r="J128" s="5">
        <v>82</v>
      </c>
      <c r="K128" s="5"/>
      <c r="L128" s="1">
        <v>245</v>
      </c>
      <c r="M128" s="5">
        <v>80</v>
      </c>
      <c r="N128" s="6" t="s">
        <v>33</v>
      </c>
      <c r="O128" s="1"/>
    </row>
    <row r="129" spans="1:15" ht="15.75">
      <c r="A129" s="1">
        <v>127</v>
      </c>
      <c r="B129" s="5">
        <v>475</v>
      </c>
      <c r="C129" s="5">
        <v>1200</v>
      </c>
      <c r="D129" s="1">
        <v>80.453929539295387</v>
      </c>
      <c r="E129" s="5">
        <v>1054.8</v>
      </c>
      <c r="F129" s="5">
        <v>12.49554</v>
      </c>
      <c r="G129" s="5"/>
      <c r="H129" s="5">
        <v>31.9</v>
      </c>
      <c r="I129" s="5">
        <v>60</v>
      </c>
      <c r="J129" s="5">
        <v>82</v>
      </c>
      <c r="K129" s="5"/>
      <c r="L129" s="1">
        <v>245</v>
      </c>
      <c r="M129" s="5">
        <v>80</v>
      </c>
      <c r="N129" s="6" t="s">
        <v>33</v>
      </c>
      <c r="O129" s="8"/>
    </row>
    <row r="130" spans="1:15" ht="15.75">
      <c r="A130" s="1">
        <v>128</v>
      </c>
      <c r="B130" s="5">
        <v>475</v>
      </c>
      <c r="C130" s="5">
        <v>1600</v>
      </c>
      <c r="D130" s="1">
        <v>60.340447154471548</v>
      </c>
      <c r="E130" s="5">
        <v>960.25</v>
      </c>
      <c r="F130" s="5">
        <v>3.0049999999999999</v>
      </c>
      <c r="G130" s="5"/>
      <c r="H130" s="5">
        <v>31.9</v>
      </c>
      <c r="I130" s="5">
        <v>60</v>
      </c>
      <c r="J130" s="5">
        <v>82</v>
      </c>
      <c r="K130" s="5"/>
      <c r="L130" s="1">
        <v>245</v>
      </c>
      <c r="M130" s="5">
        <v>80</v>
      </c>
      <c r="N130" s="6" t="s">
        <v>33</v>
      </c>
      <c r="O130" s="1"/>
    </row>
    <row r="131" spans="1:15" ht="15.75">
      <c r="A131" s="1">
        <v>129</v>
      </c>
      <c r="B131" s="5">
        <v>485</v>
      </c>
      <c r="C131" s="5">
        <v>1400</v>
      </c>
      <c r="D131" s="1">
        <v>70.412311265969805</v>
      </c>
      <c r="E131" s="5">
        <v>1037.25</v>
      </c>
      <c r="F131" s="5">
        <v>7.8834999999999997</v>
      </c>
      <c r="G131" s="5"/>
      <c r="H131" s="5">
        <v>31.9</v>
      </c>
      <c r="I131" s="5">
        <v>60</v>
      </c>
      <c r="J131" s="5">
        <v>82</v>
      </c>
      <c r="K131" s="5"/>
      <c r="L131" s="1">
        <v>245</v>
      </c>
      <c r="M131" s="5">
        <v>80</v>
      </c>
      <c r="N131" s="6" t="s">
        <v>33</v>
      </c>
      <c r="O131" s="8"/>
    </row>
    <row r="132" spans="1:15" ht="15.75">
      <c r="A132" s="1">
        <v>130</v>
      </c>
      <c r="B132" s="5">
        <v>500</v>
      </c>
      <c r="C132" s="5">
        <v>1480</v>
      </c>
      <c r="D132" s="1">
        <v>68.666227202812564</v>
      </c>
      <c r="E132" s="5">
        <v>1015.4</v>
      </c>
      <c r="F132" s="5">
        <v>4.4660000000000002</v>
      </c>
      <c r="G132" s="5"/>
      <c r="H132" s="5">
        <v>31.9</v>
      </c>
      <c r="I132" s="5">
        <v>60</v>
      </c>
      <c r="J132" s="5">
        <v>82</v>
      </c>
      <c r="K132" s="5"/>
      <c r="L132" s="1">
        <v>245</v>
      </c>
      <c r="M132" s="5">
        <v>80</v>
      </c>
      <c r="N132" s="6" t="s">
        <v>33</v>
      </c>
      <c r="O132" s="1"/>
    </row>
    <row r="133" spans="1:15" ht="15.75">
      <c r="A133" s="1">
        <v>131</v>
      </c>
      <c r="B133" s="5">
        <v>500</v>
      </c>
      <c r="C133" s="5">
        <v>1290</v>
      </c>
      <c r="D133" s="1">
        <v>78.779857566017526</v>
      </c>
      <c r="E133" s="5">
        <v>1033</v>
      </c>
      <c r="F133" s="5">
        <v>10.809100000000001</v>
      </c>
      <c r="G133" s="5"/>
      <c r="H133" s="5">
        <v>31.9</v>
      </c>
      <c r="I133" s="5">
        <v>60</v>
      </c>
      <c r="J133" s="5">
        <v>82</v>
      </c>
      <c r="K133" s="5"/>
      <c r="L133" s="1">
        <v>245</v>
      </c>
      <c r="M133" s="5">
        <v>80</v>
      </c>
      <c r="N133" s="6" t="s">
        <v>33</v>
      </c>
      <c r="O133" s="8"/>
    </row>
    <row r="134" spans="1:15" ht="15.75">
      <c r="A134" s="1">
        <v>132</v>
      </c>
      <c r="B134" s="5">
        <v>180</v>
      </c>
      <c r="C134" s="5">
        <v>1000</v>
      </c>
      <c r="D134" s="1">
        <v>70.588235294117652</v>
      </c>
      <c r="E134" s="5">
        <v>1230.06</v>
      </c>
      <c r="F134" s="5">
        <v>7.5</v>
      </c>
      <c r="G134" s="1" t="s">
        <v>7</v>
      </c>
      <c r="H134" s="5">
        <v>37.700000000000003</v>
      </c>
      <c r="I134" s="5">
        <v>30</v>
      </c>
      <c r="J134" s="5">
        <v>85</v>
      </c>
      <c r="K134" s="1" t="s">
        <v>8</v>
      </c>
      <c r="L134" s="5"/>
      <c r="M134" s="5">
        <v>75</v>
      </c>
      <c r="N134" s="6" t="s">
        <v>33</v>
      </c>
      <c r="O134" s="1"/>
    </row>
    <row r="135" spans="1:15" ht="15.75">
      <c r="A135" s="1">
        <v>133</v>
      </c>
      <c r="B135" s="5">
        <v>210</v>
      </c>
      <c r="C135" s="5">
        <v>1000</v>
      </c>
      <c r="D135" s="1">
        <v>82.352941176470594</v>
      </c>
      <c r="E135" s="5">
        <v>1242.43</v>
      </c>
      <c r="F135" s="5">
        <v>7.42</v>
      </c>
      <c r="G135" s="1" t="s">
        <v>7</v>
      </c>
      <c r="H135" s="5">
        <v>37.700000000000003</v>
      </c>
      <c r="I135" s="5">
        <v>30</v>
      </c>
      <c r="J135" s="5">
        <v>85</v>
      </c>
      <c r="K135" s="1" t="s">
        <v>8</v>
      </c>
      <c r="L135" s="5"/>
      <c r="M135" s="5">
        <v>75</v>
      </c>
      <c r="N135" s="6" t="s">
        <v>33</v>
      </c>
      <c r="O135" s="8"/>
    </row>
    <row r="136" spans="1:15" ht="15.75">
      <c r="A136" s="1">
        <v>134</v>
      </c>
      <c r="B136" s="5">
        <v>240</v>
      </c>
      <c r="C136" s="5">
        <v>1000</v>
      </c>
      <c r="D136" s="1">
        <v>94.117647058823536</v>
      </c>
      <c r="E136" s="5">
        <v>1240.82</v>
      </c>
      <c r="F136" s="5">
        <v>7.83</v>
      </c>
      <c r="G136" s="1" t="s">
        <v>7</v>
      </c>
      <c r="H136" s="5">
        <v>37.700000000000003</v>
      </c>
      <c r="I136" s="5">
        <v>30</v>
      </c>
      <c r="J136" s="5">
        <v>85</v>
      </c>
      <c r="K136" s="1" t="s">
        <v>8</v>
      </c>
      <c r="L136" s="5"/>
      <c r="M136" s="5">
        <v>75</v>
      </c>
      <c r="N136" s="6" t="s">
        <v>33</v>
      </c>
      <c r="O136" s="1"/>
    </row>
    <row r="137" spans="1:15" ht="15.75">
      <c r="A137" s="1">
        <v>135</v>
      </c>
      <c r="B137" s="5">
        <v>275</v>
      </c>
      <c r="C137" s="5">
        <v>1100</v>
      </c>
      <c r="D137" s="1">
        <v>69.444444444444443</v>
      </c>
      <c r="E137" s="5">
        <v>1202</v>
      </c>
      <c r="F137" s="5">
        <v>14.82</v>
      </c>
      <c r="G137" s="5"/>
      <c r="H137" s="5">
        <v>31.9</v>
      </c>
      <c r="I137" s="5">
        <v>30</v>
      </c>
      <c r="J137" s="5">
        <v>120</v>
      </c>
      <c r="K137" s="5"/>
      <c r="L137" s="5"/>
      <c r="M137" s="5">
        <v>80</v>
      </c>
      <c r="N137" s="10" t="s">
        <v>33</v>
      </c>
    </row>
    <row r="138" spans="1:15" ht="15.75">
      <c r="A138" s="1">
        <v>136</v>
      </c>
      <c r="B138" s="5">
        <v>280</v>
      </c>
      <c r="C138" s="5">
        <v>1200</v>
      </c>
      <c r="D138" s="1">
        <v>93.333333333333343</v>
      </c>
      <c r="E138" s="5">
        <v>1065</v>
      </c>
      <c r="F138" s="5">
        <v>6</v>
      </c>
      <c r="G138" s="1" t="s">
        <v>7</v>
      </c>
      <c r="H138" s="5">
        <v>34</v>
      </c>
      <c r="I138" s="5">
        <v>50</v>
      </c>
      <c r="J138" s="5">
        <v>50</v>
      </c>
      <c r="K138" s="1" t="s">
        <v>8</v>
      </c>
      <c r="L138" s="5">
        <v>67</v>
      </c>
      <c r="M138" s="5">
        <v>100</v>
      </c>
      <c r="N138" s="6" t="s">
        <v>33</v>
      </c>
      <c r="O138" s="1"/>
    </row>
    <row r="139" spans="1:15" ht="15.75">
      <c r="A139" s="1">
        <v>137</v>
      </c>
      <c r="B139" s="5">
        <v>400</v>
      </c>
      <c r="C139" s="5">
        <v>220</v>
      </c>
      <c r="D139" s="1">
        <v>378.78787878787887</v>
      </c>
      <c r="E139" s="5">
        <v>948</v>
      </c>
      <c r="F139" s="5">
        <v>8</v>
      </c>
      <c r="G139" s="5"/>
      <c r="H139" s="5">
        <v>45</v>
      </c>
      <c r="I139" s="5">
        <v>60</v>
      </c>
      <c r="J139" s="5">
        <v>80</v>
      </c>
      <c r="K139" s="1" t="s">
        <v>42</v>
      </c>
      <c r="L139" s="5">
        <v>67</v>
      </c>
      <c r="M139" s="5">
        <v>65</v>
      </c>
      <c r="N139" s="6" t="s">
        <v>33</v>
      </c>
      <c r="O139" s="8"/>
    </row>
    <row r="140" spans="1:15" ht="15.75">
      <c r="A140" s="1">
        <v>138</v>
      </c>
      <c r="B140" s="5">
        <v>150</v>
      </c>
      <c r="C140" s="5">
        <v>1150</v>
      </c>
      <c r="D140" s="1">
        <f>B140/(C140*J140*I140 * 0.000001)</f>
        <v>62.111801242236027</v>
      </c>
      <c r="E140" s="5">
        <v>1097.7839256979814</v>
      </c>
      <c r="F140" s="5">
        <v>10.241</v>
      </c>
      <c r="G140" s="1" t="s">
        <v>35</v>
      </c>
      <c r="H140" s="5">
        <v>33</v>
      </c>
      <c r="I140" s="5">
        <v>30</v>
      </c>
      <c r="J140" s="5">
        <v>70</v>
      </c>
      <c r="K140" s="1" t="s">
        <v>8</v>
      </c>
      <c r="L140" s="5">
        <v>67</v>
      </c>
      <c r="M140" s="5">
        <v>60</v>
      </c>
    </row>
    <row r="141" spans="1:15" ht="15.75">
      <c r="A141" s="1">
        <v>139</v>
      </c>
      <c r="B141" s="5">
        <v>150</v>
      </c>
      <c r="C141" s="5">
        <v>1100</v>
      </c>
      <c r="D141" s="1">
        <f>B141/(C141*J141*I141 * 0.000001)</f>
        <v>64.935064935064929</v>
      </c>
      <c r="E141" s="5">
        <v>1118.9703553986492</v>
      </c>
      <c r="F141" s="5">
        <v>10.0782666666667</v>
      </c>
      <c r="G141" s="1" t="s">
        <v>35</v>
      </c>
      <c r="H141" s="5">
        <v>33</v>
      </c>
      <c r="I141" s="5">
        <v>30</v>
      </c>
      <c r="J141" s="5">
        <v>70</v>
      </c>
      <c r="K141" s="1" t="s">
        <v>8</v>
      </c>
      <c r="L141" s="5">
        <v>67</v>
      </c>
      <c r="M141" s="5">
        <v>60</v>
      </c>
    </row>
    <row r="145" spans="4:4" ht="24.75">
      <c r="D145" s="9"/>
    </row>
  </sheetData>
  <phoneticPr fontId="3" type="noConversion"/>
  <hyperlinks>
    <hyperlink ref="N2" r:id="rId1" tooltip="Persistent link using digital object identifier" xr:uid="{60782FC4-CB0C-4531-A7C5-30278D1CE01F}"/>
    <hyperlink ref="N3" r:id="rId2" xr:uid="{0A7D8930-D76E-49C0-BF69-55516AB1917B}"/>
    <hyperlink ref="N4" r:id="rId3" xr:uid="{7FA51819-BB16-4223-9392-D1055D5BC780}"/>
    <hyperlink ref="N5" r:id="rId4" xr:uid="{E89F8A30-58C0-49B6-A1B2-AFDC19531201}"/>
    <hyperlink ref="N6" r:id="rId5" xr:uid="{EC892627-65CC-4788-98EE-9FEB08F11BAA}"/>
    <hyperlink ref="N7" r:id="rId6" xr:uid="{C523BDA2-76D4-47F2-A5A6-D98E0FB89AA7}"/>
    <hyperlink ref="N8" r:id="rId7" xr:uid="{D5634240-0A53-49DF-A598-0CCC5DA128AF}"/>
    <hyperlink ref="N10" r:id="rId8" tooltip="Persistent link using digital object identifier" xr:uid="{5D2EC391-6FB9-4F9C-8325-E7016E51BD4A}"/>
    <hyperlink ref="N11" r:id="rId9" tooltip="Persistent link using digital object identifier" xr:uid="{1FE1F51C-94E2-44E5-A630-639A2F7418C8}"/>
    <hyperlink ref="N16" r:id="rId10" tooltip="Persistent link using digital object identifier" xr:uid="{C6FB6467-A90E-406B-912A-402369328CCB}"/>
    <hyperlink ref="N12" r:id="rId11" tooltip="Persistent link using digital object identifier" xr:uid="{30861F4A-E479-427B-86E6-800A1D94495F}"/>
    <hyperlink ref="N13" r:id="rId12" tooltip="Persistent link using digital object identifier" xr:uid="{2A546887-3790-4B5C-B80F-9F5963CB8B04}"/>
    <hyperlink ref="N14" r:id="rId13" tooltip="Persistent link using digital object identifier" xr:uid="{C9B28B4B-0D8B-4EE3-8EA1-BC2CEA706A50}"/>
    <hyperlink ref="N15" r:id="rId14" tooltip="Persistent link using digital object identifier" xr:uid="{75D100B7-65D0-4F53-BB89-2258F46C2C18}"/>
    <hyperlink ref="N17" r:id="rId15" xr:uid="{2B0F55F8-E2F0-4861-8CF9-2220AE931469}"/>
    <hyperlink ref="N9" r:id="rId16" xr:uid="{B5BC6926-7F81-4AC8-9CA2-3B927869A1D2}"/>
    <hyperlink ref="N19" r:id="rId17" xr:uid="{4EA85CCB-DE68-4FFF-92F9-38BAB79DD3BE}"/>
    <hyperlink ref="N21" r:id="rId18" tooltip="Persistent link using digital object identifier" xr:uid="{0B24E458-B7EC-4241-BCA9-34E7E2CC292A}"/>
    <hyperlink ref="N18" r:id="rId19" tooltip="Persistent link using digital object identifier" xr:uid="{2E5DC3FB-EDF2-4B25-8F96-ABC5643617A2}"/>
    <hyperlink ref="N20" r:id="rId20" xr:uid="{8A0BEDE5-3668-4D25-9E13-EE16D1A07F0F}"/>
    <hyperlink ref="N22" r:id="rId21" xr:uid="{84F9EFC3-D553-4C7D-A71E-6B7AB2AB3D63}"/>
    <hyperlink ref="N23" r:id="rId22" xr:uid="{835C30C8-AF26-4A32-B70B-736F57C59776}"/>
    <hyperlink ref="N24" r:id="rId23" xr:uid="{F4A85676-8BD1-4934-8624-95AFE14574D5}"/>
    <hyperlink ref="N25" r:id="rId24" xr:uid="{21A551AC-A53C-4C84-96E8-B1F91366D5B1}"/>
    <hyperlink ref="N26" r:id="rId25" tooltip="Persistent link using digital object identifier" xr:uid="{BBD7AD58-DD41-41C8-8176-90C59C0FA623}"/>
    <hyperlink ref="N28" r:id="rId26" xr:uid="{11DE1A95-32AE-47B9-BED6-B9927E6ABB97}"/>
    <hyperlink ref="N29" r:id="rId27" tooltip="Persistent link using digital object identifier" xr:uid="{303C45C9-BBF4-4FEC-8166-F8851702A616}"/>
    <hyperlink ref="N30" r:id="rId28" tooltip="Persistent link using digital object identifier" xr:uid="{CDA2649E-015D-4F96-851B-305FC05FCCF2}"/>
    <hyperlink ref="N31" r:id="rId29" tooltip="Persistent link using digital object identifier" xr:uid="{8A45E85D-6F12-4103-83B0-D9B4C623E354}"/>
    <hyperlink ref="N32" r:id="rId30" tooltip="Persistent link using digital object identifier" xr:uid="{3BDF0386-E942-4D5A-8858-F4A64EF8574C}"/>
    <hyperlink ref="N33" r:id="rId31" xr:uid="{5F3D40C3-7DE5-420E-9D28-45D3D2E91CA2}"/>
    <hyperlink ref="N34" r:id="rId32" xr:uid="{A54C9C1E-69E0-4C80-A88B-32CEC97DF125}"/>
    <hyperlink ref="N35" r:id="rId33" tooltip="Persistent link using digital object identifier" xr:uid="{F44625E9-AF65-4796-86D6-488B835F0843}"/>
    <hyperlink ref="N37" r:id="rId34" xr:uid="{3D159010-A072-4E94-9AB0-C48627283E60}"/>
    <hyperlink ref="N36" r:id="rId35" xr:uid="{3661AE71-C913-4892-A7CC-DC4D661DC36C}"/>
    <hyperlink ref="N38" r:id="rId36" tooltip="Persistent link using digital object identifier" xr:uid="{A998F3FC-18EE-4A01-B73D-14CA5000A8DC}"/>
    <hyperlink ref="N39" r:id="rId37" tooltip="Persistent link using digital object identifier" xr:uid="{2CE67DB9-3FF7-47B5-A713-A5092A5928B2}"/>
    <hyperlink ref="N41" r:id="rId38" tooltip="Persistent link using digital object identifier" xr:uid="{702EE52F-566B-4D8F-9DEA-70673C713620}"/>
    <hyperlink ref="N42" r:id="rId39" xr:uid="{A3DB3090-AE80-4CDE-861F-834AC8A421D0}"/>
    <hyperlink ref="N43" r:id="rId40" tooltip="Persistent link using digital object identifier" xr:uid="{7409C274-738E-48F9-BA80-48024E07BC79}"/>
    <hyperlink ref="N40" r:id="rId41" xr:uid="{53850B21-B964-4B4F-BB2D-261DCF9C7949}"/>
    <hyperlink ref="N44" r:id="rId42" tooltip="Persistent link using digital object identifier" xr:uid="{ECD0B156-419E-479C-A86D-98761EA3B1EA}"/>
    <hyperlink ref="N45" r:id="rId43" xr:uid="{F3B8B322-7595-4B14-A320-958ABC3505DD}"/>
    <hyperlink ref="N47" r:id="rId44" tooltip="Persistent link using digital object identifier" xr:uid="{CF1A3C12-2668-4878-A2E8-017497404494}"/>
    <hyperlink ref="N48" r:id="rId45" tooltip="Persistent link using digital object identifier" xr:uid="{5DFC7509-FE0B-48E0-B916-57A21BED3C60}"/>
    <hyperlink ref="N46" r:id="rId46" tooltip="Persistent link using digital object identifier" xr:uid="{B6A8D365-4331-4F02-AEBA-A336FD3B55D6}"/>
    <hyperlink ref="N49" r:id="rId47" tooltip="Persistent link using digital object identifier" xr:uid="{016C3A88-15F9-456B-AABA-B1271DE80B73}"/>
    <hyperlink ref="N50" r:id="rId48" tooltip="Persistent link using digital object identifier" xr:uid="{8D2D29E7-3C52-49D1-95F6-BC9FEA6364EB}"/>
    <hyperlink ref="N51" r:id="rId49" tooltip="Persistent link using digital object identifier" xr:uid="{E4EA5212-982B-45E6-92DE-D2729C040EA4}"/>
    <hyperlink ref="N52" r:id="rId50" tooltip="Persistent link using digital object identifier" xr:uid="{AF8C66F2-47C7-4E52-98F5-1FA9BD0CF476}"/>
    <hyperlink ref="N53" r:id="rId51" tooltip="Persistent link using digital object identifier" xr:uid="{8E983E1A-51E5-45A5-98AF-207E5EACB283}"/>
    <hyperlink ref="N54" r:id="rId52" tooltip="Persistent link using digital object identifier" xr:uid="{31FC3557-5DD8-4613-B3F5-141B82E3CF1C}"/>
    <hyperlink ref="N55" r:id="rId53" tooltip="Persistent link using digital object identifier" xr:uid="{C4032FFE-59BF-45A9-81C8-E461BD55366F}"/>
    <hyperlink ref="N56" r:id="rId54" tooltip="Persistent link using digital object identifier" xr:uid="{A0108A5D-3F92-481D-A335-4D71729C31DB}"/>
    <hyperlink ref="N57" r:id="rId55" tooltip="Persistent link using digital object identifier" xr:uid="{690D9B5F-7092-4029-B724-7123D020AAA9}"/>
    <hyperlink ref="N58" r:id="rId56" tooltip="Persistent link using digital object identifier" xr:uid="{517D24F5-1BA2-4618-9650-84D8086D82B5}"/>
    <hyperlink ref="N59" r:id="rId57" tooltip="Persistent link using digital object identifier" xr:uid="{B6C082E7-E4D7-4838-ABE6-F293CEC37D01}"/>
    <hyperlink ref="N60" r:id="rId58" tooltip="Persistent link using digital object identifier" xr:uid="{4B46FB97-2B99-4BF8-AEB2-5DA253346FFD}"/>
    <hyperlink ref="N62" r:id="rId59" tooltip="Persistent link using digital object identifier" xr:uid="{2E49FFE2-B846-4887-BCC2-8E5B63FEF855}"/>
    <hyperlink ref="N64" r:id="rId60" tooltip="Persistent link using digital object identifier" xr:uid="{A7B2006C-7385-48FF-8622-99B69BC1FA96}"/>
    <hyperlink ref="N66" r:id="rId61" tooltip="Persistent link using digital object identifier" xr:uid="{16AF5D95-EA01-431E-9D71-21B17817C70B}"/>
    <hyperlink ref="N68" r:id="rId62" tooltip="Persistent link using digital object identifier" xr:uid="{D3B32090-CC6C-4055-8263-B774F095456D}"/>
    <hyperlink ref="N70" r:id="rId63" tooltip="Persistent link using digital object identifier" xr:uid="{CBD092E5-6A27-4F0C-96E2-6B3653E8DC8D}"/>
    <hyperlink ref="N72" r:id="rId64" tooltip="Persistent link using digital object identifier" xr:uid="{30983AAE-AE2C-430C-B56D-8073589FC695}"/>
    <hyperlink ref="N74" r:id="rId65" tooltip="Persistent link using digital object identifier" xr:uid="{A6ECED78-5249-458A-8F93-9B6449F078D2}"/>
    <hyperlink ref="N76" r:id="rId66" tooltip="Persistent link using digital object identifier" xr:uid="{379A88F2-BF93-461A-B961-A262A4796E78}"/>
    <hyperlink ref="N78" r:id="rId67" tooltip="Persistent link using digital object identifier" xr:uid="{E528DEDE-4106-4CD6-9BBD-276F0DAE07B2}"/>
    <hyperlink ref="N80" r:id="rId68" tooltip="Persistent link using digital object identifier" xr:uid="{54362CB4-D78D-4E77-A410-12A79C3C3A73}"/>
    <hyperlink ref="N82" r:id="rId69" tooltip="Persistent link using digital object identifier" xr:uid="{B1202FA4-97BA-4499-ACB4-0F379753ECAA}"/>
    <hyperlink ref="N84" r:id="rId70" tooltip="Persistent link using digital object identifier" xr:uid="{030C2DE2-5D8B-49F6-AA6A-039CE5B40EFD}"/>
    <hyperlink ref="N86" r:id="rId71" tooltip="Persistent link using digital object identifier" xr:uid="{E8472BDD-2C4C-4527-9D31-8981EB8AB9E5}"/>
    <hyperlink ref="N88" r:id="rId72" tooltip="Persistent link using digital object identifier" xr:uid="{C04CB2E5-E5A4-4983-8D04-1CD25076C451}"/>
    <hyperlink ref="N90" r:id="rId73" tooltip="Persistent link using digital object identifier" xr:uid="{6D5F07B0-C9CB-4775-ACD2-33A79B752718}"/>
    <hyperlink ref="N92" r:id="rId74" tooltip="Persistent link using digital object identifier" xr:uid="{BAE8F969-2E0D-40CF-8D7F-6195E4D8A4D1}"/>
    <hyperlink ref="N94" r:id="rId75" tooltip="Persistent link using digital object identifier" xr:uid="{7FF935DE-B7A1-48BB-91C1-BC82277735A1}"/>
    <hyperlink ref="N96" r:id="rId76" tooltip="Persistent link using digital object identifier" xr:uid="{E95B3287-831C-4808-8330-447A3C9DCE60}"/>
    <hyperlink ref="N98" r:id="rId77" tooltip="Persistent link using digital object identifier" xr:uid="{850A09A4-FFAA-4FCA-9D52-EF3F9505D065}"/>
    <hyperlink ref="N100" r:id="rId78" tooltip="Persistent link using digital object identifier" xr:uid="{40DB724A-F505-4E98-81A6-53CBD834235C}"/>
    <hyperlink ref="N102" r:id="rId79" tooltip="Persistent link using digital object identifier" xr:uid="{DE480453-8AD6-47BD-BD68-53AC6DE2A142}"/>
    <hyperlink ref="N104" r:id="rId80" tooltip="Persistent link using digital object identifier" xr:uid="{8263F0E1-953C-4720-845F-A13C5E546BA2}"/>
    <hyperlink ref="N106" r:id="rId81" tooltip="Persistent link using digital object identifier" xr:uid="{DE4CA72E-13FE-40D1-93AC-50F66C571950}"/>
    <hyperlink ref="N108" r:id="rId82" tooltip="Persistent link using digital object identifier" xr:uid="{08CEF31A-38E5-4CE1-8F1A-A59E36E1D71E}"/>
    <hyperlink ref="N110" r:id="rId83" tooltip="Persistent link using digital object identifier" xr:uid="{A9064F2F-82A0-4D95-9CA9-3F18D73D1BDE}"/>
    <hyperlink ref="N112" r:id="rId84" tooltip="Persistent link using digital object identifier" xr:uid="{9253E059-6F05-4DAA-8C04-50AF6CE64BC3}"/>
    <hyperlink ref="N114" r:id="rId85" tooltip="Persistent link using digital object identifier" xr:uid="{1F4A8630-0112-4497-8ADC-F717F12B7F21}"/>
    <hyperlink ref="N116" r:id="rId86" tooltip="Persistent link using digital object identifier" xr:uid="{44436BA0-F7A6-4781-98D8-93FF2BAB4D43}"/>
    <hyperlink ref="N118" r:id="rId87" tooltip="Persistent link using digital object identifier" xr:uid="{C064D9F4-2D7D-43BB-8BB5-8EDBF57BBF29}"/>
    <hyperlink ref="N120" r:id="rId88" tooltip="Persistent link using digital object identifier" xr:uid="{4419E37C-A8DB-4F57-82FA-863A80426D2C}"/>
    <hyperlink ref="N122" r:id="rId89" tooltip="Persistent link using digital object identifier" xr:uid="{E89E8B34-1D94-465A-8777-9638FC3C2293}"/>
    <hyperlink ref="N124" r:id="rId90" tooltip="Persistent link using digital object identifier" xr:uid="{4426E40C-026F-4D48-AFD9-41D08FDF7550}"/>
    <hyperlink ref="N126" r:id="rId91" tooltip="Persistent link using digital object identifier" xr:uid="{061E3246-83C7-4984-9190-712F6CF6D19F}"/>
    <hyperlink ref="N128" r:id="rId92" tooltip="Persistent link using digital object identifier" xr:uid="{0E36A8D1-CAE5-45D4-805F-6B1D7C3DD4F2}"/>
    <hyperlink ref="N130" r:id="rId93" tooltip="Persistent link using digital object identifier" xr:uid="{9BC7BB00-DCFC-419C-8365-4F200A095B9E}"/>
    <hyperlink ref="N132" r:id="rId94" tooltip="Persistent link using digital object identifier" xr:uid="{79EFA5F4-4F43-490E-A941-2D23C9062433}"/>
    <hyperlink ref="N134" r:id="rId95" tooltip="Persistent link using digital object identifier" xr:uid="{4A5F1A94-BAE4-490A-B8BC-9F5CB9687825}"/>
    <hyperlink ref="N136" r:id="rId96" tooltip="Persistent link using digital object identifier" xr:uid="{0798293B-6342-4F83-B872-3AA33138911A}"/>
    <hyperlink ref="N138" r:id="rId97" tooltip="Persistent link using digital object identifier" xr:uid="{1876D7F8-BDEE-4B8D-B97A-CB4211FD51B6}"/>
    <hyperlink ref="N61" r:id="rId98" tooltip="Persistent link using digital object identifier" xr:uid="{3A92C3E7-B0B9-45C7-BBBC-0962CA74ACEC}"/>
    <hyperlink ref="N63" r:id="rId99" tooltip="Persistent link using digital object identifier" xr:uid="{BC3C227C-334C-42B6-B2FF-3E10BBB09C4D}"/>
    <hyperlink ref="N65" r:id="rId100" tooltip="Persistent link using digital object identifier" xr:uid="{982D5223-A50F-47DB-A43F-7828A791044B}"/>
    <hyperlink ref="N67" r:id="rId101" tooltip="Persistent link using digital object identifier" xr:uid="{CF4DC8A1-1E62-4851-BDD9-BF2A10517F93}"/>
    <hyperlink ref="N69" r:id="rId102" tooltip="Persistent link using digital object identifier" xr:uid="{48617ED2-10DF-47CC-A3AA-FCC211A61834}"/>
    <hyperlink ref="N71" r:id="rId103" tooltip="Persistent link using digital object identifier" xr:uid="{C653A2DE-F1A6-45A5-B0B9-14A464153FE1}"/>
    <hyperlink ref="N73" r:id="rId104" tooltip="Persistent link using digital object identifier" xr:uid="{6CEF2AF3-69E2-4677-BACF-0BDA82BA7646}"/>
    <hyperlink ref="N75" r:id="rId105" tooltip="Persistent link using digital object identifier" xr:uid="{42AD822D-44BC-49F8-90C3-02394E6177AA}"/>
    <hyperlink ref="N77" r:id="rId106" tooltip="Persistent link using digital object identifier" xr:uid="{DC9410A8-6D98-4105-89E6-E04BD9F8CF76}"/>
    <hyperlink ref="N79" r:id="rId107" tooltip="Persistent link using digital object identifier" xr:uid="{56E64B19-56CE-4B46-B2BA-1E485D3A5E98}"/>
    <hyperlink ref="N81" r:id="rId108" tooltip="Persistent link using digital object identifier" xr:uid="{D8CBF4C4-9126-4608-B6DC-1A372E923083}"/>
    <hyperlink ref="N83" r:id="rId109" tooltip="Persistent link using digital object identifier" xr:uid="{7FA12B9C-85F4-48BD-B416-42962E61A1ED}"/>
    <hyperlink ref="N85" r:id="rId110" tooltip="Persistent link using digital object identifier" xr:uid="{57D4E807-9CE4-4E86-974E-9863677DBA9D}"/>
    <hyperlink ref="N87" r:id="rId111" tooltip="Persistent link using digital object identifier" xr:uid="{E33A30EA-AE42-42BA-B9E9-350570DE819F}"/>
    <hyperlink ref="N89" r:id="rId112" tooltip="Persistent link using digital object identifier" xr:uid="{9BACD2C6-A373-4B51-8CC0-16DA75E60D46}"/>
    <hyperlink ref="N91" r:id="rId113" tooltip="Persistent link using digital object identifier" xr:uid="{8E07FD11-C08C-4611-B3EB-7A945DE3DDF4}"/>
    <hyperlink ref="N93" r:id="rId114" tooltip="Persistent link using digital object identifier" xr:uid="{063D0F1F-EDEE-4B4E-92EC-A8F60D8D872F}"/>
    <hyperlink ref="N95" r:id="rId115" tooltip="Persistent link using digital object identifier" xr:uid="{25FD4CB3-84A9-4F6E-8C4F-781D489C768B}"/>
    <hyperlink ref="N97" r:id="rId116" tooltip="Persistent link using digital object identifier" xr:uid="{3AC28C70-4D46-440C-A8CF-34D8FD83FBA3}"/>
    <hyperlink ref="N99" r:id="rId117" tooltip="Persistent link using digital object identifier" xr:uid="{D04AB4B4-BD2D-4BC0-A59E-562B18F966AE}"/>
    <hyperlink ref="N101" r:id="rId118" tooltip="Persistent link using digital object identifier" xr:uid="{365830F2-7184-4ED0-BC0D-73377FAB1066}"/>
    <hyperlink ref="N103" r:id="rId119" tooltip="Persistent link using digital object identifier" xr:uid="{E770B35C-E182-4C90-A698-5887CE831E18}"/>
    <hyperlink ref="N105" r:id="rId120" tooltip="Persistent link using digital object identifier" xr:uid="{9F7970DE-FA78-4CE4-9706-DC30488C3E9F}"/>
    <hyperlink ref="N107" r:id="rId121" tooltip="Persistent link using digital object identifier" xr:uid="{6BCDDF7F-E99B-45BB-8135-D5DBFDE2D18E}"/>
    <hyperlink ref="N109" r:id="rId122" tooltip="Persistent link using digital object identifier" xr:uid="{E411A4DD-D364-4A3E-9A44-A430FD1D74D1}"/>
    <hyperlink ref="N111" r:id="rId123" tooltip="Persistent link using digital object identifier" xr:uid="{9F1BD3D5-811B-4C8D-BFC8-4B1283FFBB7F}"/>
    <hyperlink ref="N113" r:id="rId124" tooltip="Persistent link using digital object identifier" xr:uid="{4D51414B-26D1-4565-B59D-29B68BDBB410}"/>
    <hyperlink ref="N115" r:id="rId125" tooltip="Persistent link using digital object identifier" xr:uid="{8C919AC5-B61B-4678-8021-2B73AC7CA184}"/>
    <hyperlink ref="N117" r:id="rId126" tooltip="Persistent link using digital object identifier" xr:uid="{85EC1930-B342-4C6C-8E14-7EB20A7BC92F}"/>
    <hyperlink ref="N119" r:id="rId127" tooltip="Persistent link using digital object identifier" xr:uid="{086277C8-D3D2-4EDF-A56F-93D4B13AD853}"/>
    <hyperlink ref="N121" r:id="rId128" tooltip="Persistent link using digital object identifier" xr:uid="{AFD1ACB0-E7FC-4977-93E1-94AC38452DCC}"/>
    <hyperlink ref="N123" r:id="rId129" tooltip="Persistent link using digital object identifier" xr:uid="{22F1762D-2375-4EFA-9CFF-D1036B3B9CFB}"/>
    <hyperlink ref="N125" r:id="rId130" tooltip="Persistent link using digital object identifier" xr:uid="{23A08C3F-AA97-46FF-AB6D-6A75C27B86F7}"/>
    <hyperlink ref="N127" r:id="rId131" tooltip="Persistent link using digital object identifier" xr:uid="{A0BEFA93-E59E-40B0-8E02-7361C1A0CE75}"/>
    <hyperlink ref="N129" r:id="rId132" tooltip="Persistent link using digital object identifier" xr:uid="{8090528A-0718-488F-9FFD-28F6663C763A}"/>
    <hyperlink ref="N131" r:id="rId133" tooltip="Persistent link using digital object identifier" xr:uid="{22FD694F-5B09-4A0A-8565-AFE31A42B49F}"/>
    <hyperlink ref="N133" r:id="rId134" tooltip="Persistent link using digital object identifier" xr:uid="{FA5EBA2C-0509-4260-A4CA-16FD77B433E9}"/>
    <hyperlink ref="N135" r:id="rId135" tooltip="Persistent link using digital object identifier" xr:uid="{360F5393-A838-4131-84C5-580D1C82B7BE}"/>
    <hyperlink ref="N139" r:id="rId136" tooltip="Persistent link using digital object identifier" xr:uid="{75B516DC-4E22-4E5E-8A4E-F06631BC8E01}"/>
    <hyperlink ref="N27" r:id="rId137" xr:uid="{D042F390-20D5-4025-A246-01DE81C02B8C}"/>
    <hyperlink ref="N137" r:id="rId138" tooltip="Persistent link using digital object identifier" xr:uid="{12EB9114-BB63-4BB4-8EF4-882D06A8999A}"/>
  </hyperlinks>
  <pageMargins left="0.7" right="0.7" top="0.75" bottom="0.75" header="0.3" footer="0.3"/>
  <pageSetup paperSize="9" orientation="portrait" r:id="rId13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259D-9D9C-4DDB-BCA5-54DD350365AA}">
  <dimension ref="A1:D142"/>
  <sheetViews>
    <sheetView zoomScale="130" zoomScaleNormal="130" workbookViewId="0">
      <selection activeCell="A140" sqref="A140"/>
    </sheetView>
  </sheetViews>
  <sheetFormatPr defaultRowHeight="14.25"/>
  <cols>
    <col min="3" max="3" width="9" customWidth="1"/>
  </cols>
  <sheetData>
    <row r="1" spans="1:4" ht="15.75">
      <c r="A1" s="1">
        <v>1100</v>
      </c>
      <c r="B1" s="1">
        <v>11</v>
      </c>
      <c r="C1">
        <f t="shared" ref="C1" si="0">(A1-400)/(1484.9-400)</f>
        <v>0.64522075767351827</v>
      </c>
      <c r="D1">
        <f t="shared" ref="D1" si="1">(B1-1.262)/(15.382-1.262)</f>
        <v>0.68966005665722385</v>
      </c>
    </row>
    <row r="2" spans="1:4" ht="15.75">
      <c r="A2" s="1">
        <v>1080</v>
      </c>
      <c r="B2" s="1">
        <v>3.8</v>
      </c>
      <c r="C2">
        <f t="shared" ref="C2:C65" si="2">(A2-400)/(1484.9-400)</f>
        <v>0.62678587888284631</v>
      </c>
      <c r="D2">
        <f t="shared" ref="D2:D65" si="3">(B2-1.262)/(15.382-1.262)</f>
        <v>0.17974504249291784</v>
      </c>
    </row>
    <row r="3" spans="1:4" ht="15.75">
      <c r="A3" s="1">
        <v>1190</v>
      </c>
      <c r="B3" s="1">
        <v>3.5</v>
      </c>
      <c r="C3">
        <f t="shared" si="2"/>
        <v>0.72817771223154204</v>
      </c>
      <c r="D3">
        <f t="shared" si="3"/>
        <v>0.1584985835694051</v>
      </c>
    </row>
    <row r="4" spans="1:4" ht="15.75">
      <c r="A4" s="1">
        <v>1280</v>
      </c>
      <c r="B4" s="1">
        <v>4.7</v>
      </c>
      <c r="C4">
        <f t="shared" si="2"/>
        <v>0.81113466678956581</v>
      </c>
      <c r="D4">
        <f t="shared" si="3"/>
        <v>0.24348441926345613</v>
      </c>
    </row>
    <row r="5" spans="1:4" ht="15.75">
      <c r="A5" s="1">
        <v>1250</v>
      </c>
      <c r="B5" s="1">
        <v>3.8</v>
      </c>
      <c r="C5">
        <f t="shared" si="2"/>
        <v>0.78348234860355792</v>
      </c>
      <c r="D5">
        <f t="shared" si="3"/>
        <v>0.17974504249291784</v>
      </c>
    </row>
    <row r="6" spans="1:4" ht="15.75">
      <c r="A6" s="1">
        <v>1040</v>
      </c>
      <c r="B6" s="1">
        <v>3.2</v>
      </c>
      <c r="C6">
        <f t="shared" si="2"/>
        <v>0.58991612130150239</v>
      </c>
      <c r="D6">
        <f t="shared" si="3"/>
        <v>0.13725212464589237</v>
      </c>
    </row>
    <row r="7" spans="1:4" ht="15.75">
      <c r="A7" s="1">
        <v>400</v>
      </c>
      <c r="B7" s="1">
        <v>2</v>
      </c>
      <c r="C7">
        <f t="shared" si="2"/>
        <v>0</v>
      </c>
      <c r="D7">
        <f t="shared" si="3"/>
        <v>5.2266288951841364E-2</v>
      </c>
    </row>
    <row r="8" spans="1:4" ht="15.75">
      <c r="A8" s="1">
        <v>590</v>
      </c>
      <c r="B8" s="1">
        <v>2</v>
      </c>
      <c r="C8">
        <f t="shared" si="2"/>
        <v>0.17513134851138351</v>
      </c>
      <c r="D8">
        <f t="shared" si="3"/>
        <v>5.2266288951841364E-2</v>
      </c>
    </row>
    <row r="9" spans="1:4" ht="15.75">
      <c r="A9" s="1">
        <v>1170</v>
      </c>
      <c r="B9" s="1">
        <v>10.5</v>
      </c>
      <c r="C9">
        <f t="shared" si="2"/>
        <v>0.70974283344087008</v>
      </c>
      <c r="D9">
        <f t="shared" si="3"/>
        <v>0.65424929178470259</v>
      </c>
    </row>
    <row r="10" spans="1:4" ht="15.75">
      <c r="A10" s="1">
        <v>1200</v>
      </c>
      <c r="B10" s="1">
        <v>7.2</v>
      </c>
      <c r="C10">
        <f t="shared" si="2"/>
        <v>0.73739515162687796</v>
      </c>
      <c r="D10">
        <f t="shared" si="3"/>
        <v>0.4205382436260624</v>
      </c>
    </row>
    <row r="11" spans="1:4" ht="15.75">
      <c r="A11" s="1">
        <v>1200</v>
      </c>
      <c r="B11" s="1">
        <v>5.7</v>
      </c>
      <c r="C11">
        <f t="shared" si="2"/>
        <v>0.73739515162687796</v>
      </c>
      <c r="D11">
        <f t="shared" si="3"/>
        <v>0.31430594900849862</v>
      </c>
    </row>
    <row r="12" spans="1:4" ht="15.75">
      <c r="A12" s="1">
        <v>1200</v>
      </c>
      <c r="B12" s="1">
        <v>6</v>
      </c>
      <c r="C12">
        <f t="shared" si="2"/>
        <v>0.73739515162687796</v>
      </c>
      <c r="D12">
        <f t="shared" si="3"/>
        <v>0.3355524079320113</v>
      </c>
    </row>
    <row r="13" spans="1:4" ht="15.75">
      <c r="A13" s="1">
        <v>1200</v>
      </c>
      <c r="B13" s="1">
        <v>9.8000000000000007</v>
      </c>
      <c r="C13">
        <f t="shared" si="2"/>
        <v>0.73739515162687796</v>
      </c>
      <c r="D13">
        <f t="shared" si="3"/>
        <v>0.6046742209631728</v>
      </c>
    </row>
    <row r="14" spans="1:4" ht="15.75">
      <c r="A14" s="1">
        <v>1200</v>
      </c>
      <c r="B14" s="1">
        <v>10.3</v>
      </c>
      <c r="C14">
        <f t="shared" si="2"/>
        <v>0.73739515162687796</v>
      </c>
      <c r="D14">
        <f t="shared" si="3"/>
        <v>0.64008498583569406</v>
      </c>
    </row>
    <row r="15" spans="1:4" ht="15.75">
      <c r="A15" s="1">
        <v>1190</v>
      </c>
      <c r="B15" s="1">
        <v>6.8</v>
      </c>
      <c r="C15">
        <f t="shared" si="2"/>
        <v>0.72817771223154204</v>
      </c>
      <c r="D15">
        <f t="shared" si="3"/>
        <v>0.39220963172804535</v>
      </c>
    </row>
    <row r="16" spans="1:4" ht="15.75">
      <c r="A16" s="1">
        <v>1351</v>
      </c>
      <c r="B16" s="1">
        <v>3.15</v>
      </c>
      <c r="C16">
        <f t="shared" si="2"/>
        <v>0.8765784864964512</v>
      </c>
      <c r="D16">
        <f t="shared" si="3"/>
        <v>0.13371104815864024</v>
      </c>
    </row>
    <row r="17" spans="1:4" ht="15.75">
      <c r="A17" s="1">
        <v>1185</v>
      </c>
      <c r="B17" s="1">
        <v>6.3</v>
      </c>
      <c r="C17">
        <f t="shared" si="2"/>
        <v>0.72356899253387408</v>
      </c>
      <c r="D17">
        <f t="shared" si="3"/>
        <v>0.35679886685552414</v>
      </c>
    </row>
    <row r="18" spans="1:4" ht="15.75">
      <c r="A18" s="1">
        <v>1008</v>
      </c>
      <c r="B18" s="1">
        <v>11.9</v>
      </c>
      <c r="C18">
        <f t="shared" si="2"/>
        <v>0.56042031523642732</v>
      </c>
      <c r="D18">
        <f t="shared" si="3"/>
        <v>0.75339943342776206</v>
      </c>
    </row>
    <row r="19" spans="1:4" ht="15.75">
      <c r="A19" s="1">
        <v>1288</v>
      </c>
      <c r="B19" s="1">
        <v>6.43</v>
      </c>
      <c r="C19">
        <f t="shared" si="2"/>
        <v>0.81850861830583455</v>
      </c>
      <c r="D19">
        <f t="shared" si="3"/>
        <v>0.36600566572237958</v>
      </c>
    </row>
    <row r="20" spans="1:4" ht="15.75">
      <c r="A20" s="1">
        <v>1199</v>
      </c>
      <c r="B20" s="1">
        <v>7.6</v>
      </c>
      <c r="C20">
        <f t="shared" si="2"/>
        <v>0.73647340768734437</v>
      </c>
      <c r="D20">
        <f t="shared" si="3"/>
        <v>0.44886685552407929</v>
      </c>
    </row>
    <row r="21" spans="1:4" ht="15.75">
      <c r="A21" s="1">
        <v>1250</v>
      </c>
      <c r="B21" s="1">
        <v>5.5</v>
      </c>
      <c r="C21">
        <f t="shared" si="2"/>
        <v>0.78348234860355792</v>
      </c>
      <c r="D21">
        <f t="shared" si="3"/>
        <v>0.30014164305949009</v>
      </c>
    </row>
    <row r="22" spans="1:4" ht="15.75">
      <c r="A22" s="1">
        <v>1230</v>
      </c>
      <c r="B22" s="1">
        <v>6.3</v>
      </c>
      <c r="C22">
        <f t="shared" si="2"/>
        <v>0.76504746981288596</v>
      </c>
      <c r="D22">
        <f t="shared" si="3"/>
        <v>0.35679886685552414</v>
      </c>
    </row>
    <row r="23" spans="1:4" ht="15.75">
      <c r="A23" s="1">
        <v>1200</v>
      </c>
      <c r="B23" s="1">
        <v>7.8</v>
      </c>
      <c r="C23">
        <f t="shared" si="2"/>
        <v>0.73739515162687796</v>
      </c>
      <c r="D23">
        <f t="shared" si="3"/>
        <v>0.46303116147308787</v>
      </c>
    </row>
    <row r="24" spans="1:4" ht="15.75">
      <c r="A24" s="1">
        <v>1250</v>
      </c>
      <c r="B24" s="1">
        <v>5.4</v>
      </c>
      <c r="C24">
        <f t="shared" si="2"/>
        <v>0.78348234860355792</v>
      </c>
      <c r="D24">
        <f t="shared" si="3"/>
        <v>0.29305949008498583</v>
      </c>
    </row>
    <row r="25" spans="1:4" ht="15.75">
      <c r="A25" s="1">
        <v>1000</v>
      </c>
      <c r="B25" s="1">
        <v>8</v>
      </c>
      <c r="C25">
        <f t="shared" si="2"/>
        <v>0.55304636372015847</v>
      </c>
      <c r="D25">
        <f t="shared" si="3"/>
        <v>0.47719546742209629</v>
      </c>
    </row>
    <row r="26" spans="1:4" ht="15.75">
      <c r="A26" s="1">
        <v>1050</v>
      </c>
      <c r="B26" s="1">
        <v>9.1999999999999993</v>
      </c>
      <c r="C26">
        <f t="shared" si="2"/>
        <v>0.59913356069683832</v>
      </c>
      <c r="D26">
        <f t="shared" si="3"/>
        <v>0.56218130311614722</v>
      </c>
    </row>
    <row r="27" spans="1:4" ht="15.75">
      <c r="A27" s="1">
        <v>1200</v>
      </c>
      <c r="B27" s="1">
        <v>5.62</v>
      </c>
      <c r="C27">
        <f t="shared" si="2"/>
        <v>0.73739515162687796</v>
      </c>
      <c r="D27">
        <f t="shared" si="3"/>
        <v>0.30864022662889523</v>
      </c>
    </row>
    <row r="28" spans="1:4" ht="15.75">
      <c r="A28" s="1">
        <v>1000</v>
      </c>
      <c r="B28" s="1">
        <v>3.7</v>
      </c>
      <c r="C28">
        <f t="shared" si="2"/>
        <v>0.55304636372015847</v>
      </c>
      <c r="D28">
        <f t="shared" si="3"/>
        <v>0.17266288951841363</v>
      </c>
    </row>
    <row r="29" spans="1:4" ht="15.75">
      <c r="A29" s="1">
        <v>1100</v>
      </c>
      <c r="B29" s="1">
        <v>4.3</v>
      </c>
      <c r="C29">
        <f t="shared" si="2"/>
        <v>0.64522075767351827</v>
      </c>
      <c r="D29">
        <f t="shared" si="3"/>
        <v>0.2151558073654391</v>
      </c>
    </row>
    <row r="30" spans="1:4" ht="15.75">
      <c r="A30" s="1">
        <v>1250</v>
      </c>
      <c r="B30" s="1">
        <v>4.8</v>
      </c>
      <c r="C30">
        <f t="shared" si="2"/>
        <v>0.78348234860355792</v>
      </c>
      <c r="D30">
        <f t="shared" si="3"/>
        <v>0.25056657223796036</v>
      </c>
    </row>
    <row r="31" spans="1:4" ht="15.75">
      <c r="A31" s="1">
        <v>1350</v>
      </c>
      <c r="B31" s="1">
        <v>5.0999999999999996</v>
      </c>
      <c r="C31">
        <f t="shared" si="2"/>
        <v>0.87565674255691761</v>
      </c>
      <c r="D31">
        <f t="shared" si="3"/>
        <v>0.2718130311614731</v>
      </c>
    </row>
    <row r="32" spans="1:4" ht="15.75">
      <c r="A32" s="1">
        <v>910</v>
      </c>
      <c r="B32" s="1">
        <v>8.9</v>
      </c>
      <c r="C32">
        <f t="shared" si="2"/>
        <v>0.47008940916213471</v>
      </c>
      <c r="D32">
        <f t="shared" si="3"/>
        <v>0.5409348441926346</v>
      </c>
    </row>
    <row r="33" spans="1:4" ht="15.75">
      <c r="A33" s="1">
        <v>850</v>
      </c>
      <c r="B33" s="1">
        <v>9.1</v>
      </c>
      <c r="C33">
        <f t="shared" si="2"/>
        <v>0.41478477279011888</v>
      </c>
      <c r="D33">
        <f t="shared" si="3"/>
        <v>0.55509915014164302</v>
      </c>
    </row>
    <row r="34" spans="1:4" ht="15.75">
      <c r="A34" s="1">
        <v>1280</v>
      </c>
      <c r="B34" s="1">
        <v>5.5</v>
      </c>
      <c r="C34">
        <f t="shared" si="2"/>
        <v>0.81113466678956581</v>
      </c>
      <c r="D34">
        <f t="shared" si="3"/>
        <v>0.30014164305949009</v>
      </c>
    </row>
    <row r="35" spans="1:4" ht="15.75">
      <c r="A35" s="1">
        <v>1380</v>
      </c>
      <c r="B35" s="1">
        <v>6.95</v>
      </c>
      <c r="C35">
        <f t="shared" si="2"/>
        <v>0.9033090607429255</v>
      </c>
      <c r="D35">
        <f t="shared" si="3"/>
        <v>0.40283286118980177</v>
      </c>
    </row>
    <row r="36" spans="1:4" ht="15.75">
      <c r="A36" s="1">
        <v>1337</v>
      </c>
      <c r="B36" s="1">
        <v>6.19</v>
      </c>
      <c r="C36">
        <f t="shared" si="2"/>
        <v>0.8636740713429808</v>
      </c>
      <c r="D36">
        <f t="shared" si="3"/>
        <v>0.34900849858356947</v>
      </c>
    </row>
    <row r="37" spans="1:4" ht="15.75">
      <c r="A37" s="1">
        <v>1260</v>
      </c>
      <c r="B37" s="1">
        <v>4</v>
      </c>
      <c r="C37">
        <f t="shared" si="2"/>
        <v>0.79269978799889385</v>
      </c>
      <c r="D37">
        <f t="shared" si="3"/>
        <v>0.19390934844192637</v>
      </c>
    </row>
    <row r="38" spans="1:4" ht="15.75">
      <c r="A38" s="1">
        <v>1361</v>
      </c>
      <c r="B38" s="1">
        <v>2.8</v>
      </c>
      <c r="C38">
        <f t="shared" si="2"/>
        <v>0.88579592589178724</v>
      </c>
      <c r="D38">
        <f t="shared" si="3"/>
        <v>0.10892351274787535</v>
      </c>
    </row>
    <row r="39" spans="1:4" ht="15.75">
      <c r="A39" s="1">
        <v>1300</v>
      </c>
      <c r="B39" s="1">
        <v>6.9</v>
      </c>
      <c r="C39">
        <f t="shared" si="2"/>
        <v>0.82956954558023777</v>
      </c>
      <c r="D39">
        <f t="shared" si="3"/>
        <v>0.39929178470254961</v>
      </c>
    </row>
    <row r="40" spans="1:4" ht="15.75">
      <c r="A40" s="1">
        <v>1200</v>
      </c>
      <c r="B40" s="1">
        <v>9.5</v>
      </c>
      <c r="C40">
        <f t="shared" si="2"/>
        <v>0.73739515162687796</v>
      </c>
      <c r="D40">
        <f t="shared" si="3"/>
        <v>0.58342776203966007</v>
      </c>
    </row>
    <row r="41" spans="1:4" ht="15.75">
      <c r="A41" s="1">
        <v>1152</v>
      </c>
      <c r="B41" s="1">
        <v>6.1</v>
      </c>
      <c r="C41">
        <f t="shared" si="2"/>
        <v>0.6931514425292653</v>
      </c>
      <c r="D41">
        <f t="shared" si="3"/>
        <v>0.34263456090651556</v>
      </c>
    </row>
    <row r="42" spans="1:4" ht="15.75">
      <c r="A42" s="1">
        <v>1180</v>
      </c>
      <c r="B42" s="1">
        <v>9.6</v>
      </c>
      <c r="C42">
        <f t="shared" si="2"/>
        <v>0.718960272836206</v>
      </c>
      <c r="D42">
        <f t="shared" si="3"/>
        <v>0.59050991501416428</v>
      </c>
    </row>
    <row r="43" spans="1:4" ht="15.75">
      <c r="A43" s="1">
        <v>1177</v>
      </c>
      <c r="B43" s="1">
        <v>2</v>
      </c>
      <c r="C43">
        <f t="shared" si="2"/>
        <v>0.71619504101760523</v>
      </c>
      <c r="D43">
        <f t="shared" si="3"/>
        <v>5.2266288951841364E-2</v>
      </c>
    </row>
    <row r="44" spans="1:4" ht="15.75">
      <c r="A44" s="1">
        <v>1000</v>
      </c>
      <c r="B44" s="1">
        <v>8.9</v>
      </c>
      <c r="C44">
        <f t="shared" si="2"/>
        <v>0.55304636372015847</v>
      </c>
      <c r="D44">
        <f t="shared" si="3"/>
        <v>0.5409348441926346</v>
      </c>
    </row>
    <row r="45" spans="1:4" ht="15.75">
      <c r="A45" s="1">
        <v>1150</v>
      </c>
      <c r="B45" s="1">
        <v>14</v>
      </c>
      <c r="C45">
        <f t="shared" si="2"/>
        <v>0.69130795465019812</v>
      </c>
      <c r="D45">
        <f t="shared" si="3"/>
        <v>0.90212464589235131</v>
      </c>
    </row>
    <row r="46" spans="1:4" ht="15.75">
      <c r="A46" s="1">
        <v>1244</v>
      </c>
      <c r="B46" s="1">
        <v>5.5</v>
      </c>
      <c r="C46">
        <f t="shared" si="2"/>
        <v>0.77795188496635626</v>
      </c>
      <c r="D46">
        <f t="shared" si="3"/>
        <v>0.30014164305949009</v>
      </c>
    </row>
    <row r="47" spans="1:4" ht="15.75">
      <c r="A47" s="1">
        <v>1241</v>
      </c>
      <c r="B47" s="1">
        <v>6.5</v>
      </c>
      <c r="C47">
        <f t="shared" si="2"/>
        <v>0.77518665314775548</v>
      </c>
      <c r="D47">
        <f t="shared" si="3"/>
        <v>0.37096317280453256</v>
      </c>
    </row>
    <row r="48" spans="1:4" ht="15.75">
      <c r="A48" s="1">
        <v>1253</v>
      </c>
      <c r="B48" s="1">
        <v>8</v>
      </c>
      <c r="C48">
        <f t="shared" si="2"/>
        <v>0.7862475804221587</v>
      </c>
      <c r="D48">
        <f t="shared" si="3"/>
        <v>0.47719546742209629</v>
      </c>
    </row>
    <row r="49" spans="1:4" ht="15.75">
      <c r="A49" s="1">
        <v>1250</v>
      </c>
      <c r="B49" s="1">
        <v>8</v>
      </c>
      <c r="C49">
        <f t="shared" si="2"/>
        <v>0.78348234860355792</v>
      </c>
      <c r="D49">
        <f t="shared" si="3"/>
        <v>0.47719546742209629</v>
      </c>
    </row>
    <row r="50" spans="1:4" ht="15.75">
      <c r="A50" s="1">
        <v>1268</v>
      </c>
      <c r="B50" s="1">
        <v>5</v>
      </c>
      <c r="C50">
        <f t="shared" si="2"/>
        <v>0.80007373951516259</v>
      </c>
      <c r="D50">
        <f t="shared" si="3"/>
        <v>0.26473087818696883</v>
      </c>
    </row>
    <row r="51" spans="1:4" ht="15.75">
      <c r="A51" s="1">
        <v>1252</v>
      </c>
      <c r="B51" s="1">
        <v>6</v>
      </c>
      <c r="C51">
        <f t="shared" si="2"/>
        <v>0.78532583648262511</v>
      </c>
      <c r="D51">
        <f t="shared" si="3"/>
        <v>0.3355524079320113</v>
      </c>
    </row>
    <row r="52" spans="1:4" ht="15.75">
      <c r="A52" s="1">
        <v>1257</v>
      </c>
      <c r="B52" s="1">
        <v>8.3000000000000007</v>
      </c>
      <c r="C52">
        <f t="shared" si="2"/>
        <v>0.78993455618029307</v>
      </c>
      <c r="D52">
        <f t="shared" si="3"/>
        <v>0.49844192634560913</v>
      </c>
    </row>
    <row r="53" spans="1:4" ht="15.75">
      <c r="A53" s="1">
        <v>1297</v>
      </c>
      <c r="B53" s="1">
        <v>1.5</v>
      </c>
      <c r="C53">
        <f t="shared" si="2"/>
        <v>0.82680431376163699</v>
      </c>
      <c r="D53">
        <f t="shared" si="3"/>
        <v>1.6855524079320113E-2</v>
      </c>
    </row>
    <row r="54" spans="1:4" ht="15.75">
      <c r="A54" s="1">
        <v>1280</v>
      </c>
      <c r="B54" s="1">
        <v>3.5</v>
      </c>
      <c r="C54">
        <f t="shared" si="2"/>
        <v>0.81113466678956581</v>
      </c>
      <c r="D54">
        <f t="shared" si="3"/>
        <v>0.1584985835694051</v>
      </c>
    </row>
    <row r="55" spans="1:4" ht="15.75">
      <c r="A55" s="1">
        <v>1280</v>
      </c>
      <c r="B55" s="1">
        <v>4</v>
      </c>
      <c r="C55">
        <f t="shared" si="2"/>
        <v>0.81113466678956581</v>
      </c>
      <c r="D55">
        <f t="shared" si="3"/>
        <v>0.19390934844192637</v>
      </c>
    </row>
    <row r="56" spans="1:4" ht="15.75">
      <c r="A56" s="1">
        <v>1244</v>
      </c>
      <c r="B56" s="1">
        <v>5.5</v>
      </c>
      <c r="C56">
        <f t="shared" si="2"/>
        <v>0.77795188496635626</v>
      </c>
      <c r="D56">
        <f t="shared" si="3"/>
        <v>0.30014164305949009</v>
      </c>
    </row>
    <row r="57" spans="1:4" ht="15.75">
      <c r="A57" s="5">
        <v>1215</v>
      </c>
      <c r="B57" s="5">
        <v>11.8</v>
      </c>
      <c r="C57">
        <f t="shared" si="2"/>
        <v>0.75122131071988196</v>
      </c>
      <c r="D57">
        <f t="shared" si="3"/>
        <v>0.74631728045325785</v>
      </c>
    </row>
    <row r="58" spans="1:4" ht="15.75">
      <c r="A58" s="5">
        <v>1147</v>
      </c>
      <c r="B58" s="5">
        <v>9.1</v>
      </c>
      <c r="C58">
        <f t="shared" si="2"/>
        <v>0.68854272283159734</v>
      </c>
      <c r="D58">
        <f t="shared" si="3"/>
        <v>0.55509915014164302</v>
      </c>
    </row>
    <row r="59" spans="1:4" ht="15.75">
      <c r="A59" s="5">
        <v>1180</v>
      </c>
      <c r="B59" s="5">
        <v>3</v>
      </c>
      <c r="C59">
        <f t="shared" si="2"/>
        <v>0.718960272836206</v>
      </c>
      <c r="D59">
        <f t="shared" si="3"/>
        <v>0.12308781869688386</v>
      </c>
    </row>
    <row r="60" spans="1:4" ht="15.75">
      <c r="A60" s="5">
        <v>1371</v>
      </c>
      <c r="B60" s="5">
        <v>7.3</v>
      </c>
      <c r="C60">
        <f t="shared" si="2"/>
        <v>0.89501336528712316</v>
      </c>
      <c r="D60">
        <f t="shared" si="3"/>
        <v>0.42762039660056661</v>
      </c>
    </row>
    <row r="61" spans="1:4" ht="15.75">
      <c r="A61" s="5">
        <v>1287</v>
      </c>
      <c r="B61" s="5">
        <v>10.1</v>
      </c>
      <c r="C61">
        <f t="shared" si="2"/>
        <v>0.81758687436630095</v>
      </c>
      <c r="D61">
        <f t="shared" si="3"/>
        <v>0.62592067988668554</v>
      </c>
    </row>
    <row r="62" spans="1:4" ht="15.75">
      <c r="A62" s="5">
        <v>1266</v>
      </c>
      <c r="B62" s="5">
        <v>10</v>
      </c>
      <c r="C62">
        <f t="shared" si="2"/>
        <v>0.7982302516360954</v>
      </c>
      <c r="D62">
        <f t="shared" si="3"/>
        <v>0.61883852691218133</v>
      </c>
    </row>
    <row r="63" spans="1:4" ht="15.75">
      <c r="A63" s="5">
        <v>1256</v>
      </c>
      <c r="B63" s="5">
        <v>10.8</v>
      </c>
      <c r="C63">
        <f t="shared" si="2"/>
        <v>0.78901281224075948</v>
      </c>
      <c r="D63">
        <f t="shared" si="3"/>
        <v>0.67549575070821533</v>
      </c>
    </row>
    <row r="64" spans="1:4" ht="15.75">
      <c r="A64" s="5">
        <v>1250</v>
      </c>
      <c r="B64" s="5">
        <v>9.4</v>
      </c>
      <c r="C64">
        <f t="shared" si="2"/>
        <v>0.78348234860355792</v>
      </c>
      <c r="D64">
        <f t="shared" si="3"/>
        <v>0.57634560906515586</v>
      </c>
    </row>
    <row r="65" spans="1:4" ht="15.75">
      <c r="A65" s="5">
        <v>1187</v>
      </c>
      <c r="B65" s="5">
        <v>6.9</v>
      </c>
      <c r="C65">
        <f t="shared" si="2"/>
        <v>0.72541248041294126</v>
      </c>
      <c r="D65">
        <f t="shared" si="3"/>
        <v>0.39929178470254961</v>
      </c>
    </row>
    <row r="66" spans="1:4" ht="15.75">
      <c r="A66" s="5">
        <v>1055</v>
      </c>
      <c r="B66" s="5">
        <v>3.7</v>
      </c>
      <c r="C66">
        <f t="shared" ref="C66:C129" si="4">(A66-400)/(1484.9-400)</f>
        <v>0.60374228039450639</v>
      </c>
      <c r="D66">
        <f t="shared" ref="D66:D129" si="5">(B66-1.262)/(15.382-1.262)</f>
        <v>0.17266288951841363</v>
      </c>
    </row>
    <row r="67" spans="1:4" ht="15.75">
      <c r="A67" s="5">
        <v>1310</v>
      </c>
      <c r="B67" s="5">
        <v>5.4</v>
      </c>
      <c r="C67">
        <f t="shared" si="4"/>
        <v>0.83878698497557369</v>
      </c>
      <c r="D67">
        <f t="shared" si="5"/>
        <v>0.29305949008498583</v>
      </c>
    </row>
    <row r="68" spans="1:4" ht="15.75">
      <c r="A68" s="5">
        <v>1239.3</v>
      </c>
      <c r="B68" s="5">
        <v>4</v>
      </c>
      <c r="C68">
        <f t="shared" si="4"/>
        <v>0.77361968845054829</v>
      </c>
      <c r="D68">
        <f t="shared" si="5"/>
        <v>0.19390934844192637</v>
      </c>
    </row>
    <row r="69" spans="1:4" ht="15.75">
      <c r="A69" s="5">
        <v>1228</v>
      </c>
      <c r="B69" s="5">
        <v>8.5</v>
      </c>
      <c r="C69">
        <f t="shared" si="4"/>
        <v>0.76320398193381878</v>
      </c>
      <c r="D69">
        <f t="shared" si="5"/>
        <v>0.51260623229461755</v>
      </c>
    </row>
    <row r="70" spans="1:4" ht="15.75">
      <c r="A70" s="5">
        <v>1042</v>
      </c>
      <c r="B70" s="5">
        <v>8.1</v>
      </c>
      <c r="C70">
        <f t="shared" si="4"/>
        <v>0.59175960918056958</v>
      </c>
      <c r="D70">
        <f t="shared" si="5"/>
        <v>0.48427762039660055</v>
      </c>
    </row>
    <row r="71" spans="1:4" ht="15.75">
      <c r="A71" s="5">
        <v>1134</v>
      </c>
      <c r="B71" s="5">
        <v>7.8</v>
      </c>
      <c r="C71">
        <f t="shared" si="4"/>
        <v>0.67656005161766053</v>
      </c>
      <c r="D71">
        <f t="shared" si="5"/>
        <v>0.46303116147308787</v>
      </c>
    </row>
    <row r="72" spans="1:4" ht="15.75">
      <c r="A72" s="5">
        <v>1484.9</v>
      </c>
      <c r="B72" s="5">
        <v>2.6</v>
      </c>
      <c r="C72">
        <f t="shared" si="4"/>
        <v>1</v>
      </c>
      <c r="D72">
        <f t="shared" si="5"/>
        <v>9.475920679886686E-2</v>
      </c>
    </row>
    <row r="73" spans="1:4" ht="15.75">
      <c r="A73" s="5">
        <v>1283.5999999999999</v>
      </c>
      <c r="B73" s="5">
        <v>5.0999999999999996</v>
      </c>
      <c r="C73">
        <f t="shared" si="4"/>
        <v>0.81445294497188669</v>
      </c>
      <c r="D73">
        <f t="shared" si="5"/>
        <v>0.2718130311614731</v>
      </c>
    </row>
    <row r="74" spans="1:4" ht="15.75">
      <c r="A74" s="5">
        <v>1200.7</v>
      </c>
      <c r="B74" s="5">
        <v>5.9</v>
      </c>
      <c r="C74">
        <f t="shared" si="4"/>
        <v>0.73804037238455156</v>
      </c>
      <c r="D74">
        <f t="shared" si="5"/>
        <v>0.32847025495750709</v>
      </c>
    </row>
    <row r="75" spans="1:4" ht="15.75">
      <c r="A75" s="5">
        <v>1264.0999999999999</v>
      </c>
      <c r="B75" s="5">
        <v>8</v>
      </c>
      <c r="C75">
        <f t="shared" si="4"/>
        <v>0.79647893815098147</v>
      </c>
      <c r="D75">
        <f t="shared" si="5"/>
        <v>0.47719546742209629</v>
      </c>
    </row>
    <row r="76" spans="1:4" ht="15.75">
      <c r="A76" s="5">
        <v>1305.5999999999999</v>
      </c>
      <c r="B76" s="5">
        <v>1.6</v>
      </c>
      <c r="C76">
        <f t="shared" si="4"/>
        <v>0.83473131164162584</v>
      </c>
      <c r="D76">
        <f t="shared" si="5"/>
        <v>2.393767705382437E-2</v>
      </c>
    </row>
    <row r="77" spans="1:4" ht="15.75">
      <c r="A77" s="5">
        <v>1241.9000000000001</v>
      </c>
      <c r="B77" s="5">
        <v>2.4</v>
      </c>
      <c r="C77">
        <f t="shared" si="4"/>
        <v>0.77601622269333581</v>
      </c>
      <c r="D77">
        <f t="shared" si="5"/>
        <v>8.0594900849858347E-2</v>
      </c>
    </row>
    <row r="78" spans="1:4" ht="15.75">
      <c r="A78" s="5">
        <v>990</v>
      </c>
      <c r="B78" s="5">
        <v>10.199999999999999</v>
      </c>
      <c r="C78">
        <f t="shared" si="4"/>
        <v>0.54382892432482255</v>
      </c>
      <c r="D78">
        <f t="shared" si="5"/>
        <v>0.63300283286118975</v>
      </c>
    </row>
    <row r="79" spans="1:4" ht="15.75">
      <c r="A79" s="5">
        <v>878</v>
      </c>
      <c r="B79" s="5">
        <v>7.2</v>
      </c>
      <c r="C79">
        <f t="shared" si="4"/>
        <v>0.44059360309705958</v>
      </c>
      <c r="D79">
        <f t="shared" si="5"/>
        <v>0.4205382436260624</v>
      </c>
    </row>
    <row r="80" spans="1:4" ht="15.75">
      <c r="A80" s="5">
        <v>1037</v>
      </c>
      <c r="B80" s="5">
        <v>7.2</v>
      </c>
      <c r="C80">
        <f t="shared" si="4"/>
        <v>0.58715088948290162</v>
      </c>
      <c r="D80">
        <f t="shared" si="5"/>
        <v>0.4205382436260624</v>
      </c>
    </row>
    <row r="81" spans="1:4" ht="15.75">
      <c r="A81" s="5">
        <v>794</v>
      </c>
      <c r="B81" s="5">
        <v>6.8</v>
      </c>
      <c r="C81">
        <f t="shared" si="4"/>
        <v>0.36316711217623743</v>
      </c>
      <c r="D81">
        <f t="shared" si="5"/>
        <v>0.39220963172804535</v>
      </c>
    </row>
    <row r="82" spans="1:4" ht="15.75">
      <c r="A82" s="5">
        <v>937</v>
      </c>
      <c r="B82" s="5">
        <v>7.9</v>
      </c>
      <c r="C82">
        <f t="shared" si="4"/>
        <v>0.49497649552954187</v>
      </c>
      <c r="D82">
        <f t="shared" si="5"/>
        <v>0.47011331444759208</v>
      </c>
    </row>
    <row r="83" spans="1:4" ht="15.75">
      <c r="A83" s="5">
        <v>866</v>
      </c>
      <c r="B83" s="5">
        <v>7.1</v>
      </c>
      <c r="C83">
        <f t="shared" si="4"/>
        <v>0.42953267582265642</v>
      </c>
      <c r="D83">
        <f t="shared" si="5"/>
        <v>0.41345609065155803</v>
      </c>
    </row>
    <row r="84" spans="1:4" ht="15.75">
      <c r="A84" s="5">
        <v>845</v>
      </c>
      <c r="B84" s="5">
        <v>8</v>
      </c>
      <c r="C84">
        <f t="shared" si="4"/>
        <v>0.41017605309245087</v>
      </c>
      <c r="D84">
        <f t="shared" si="5"/>
        <v>0.47719546742209629</v>
      </c>
    </row>
    <row r="85" spans="1:4" ht="15.75">
      <c r="A85" s="5">
        <v>952</v>
      </c>
      <c r="B85" s="5">
        <v>6.8</v>
      </c>
      <c r="C85">
        <f t="shared" si="4"/>
        <v>0.50880265462254581</v>
      </c>
      <c r="D85">
        <f t="shared" si="5"/>
        <v>0.39220963172804535</v>
      </c>
    </row>
    <row r="86" spans="1:4" ht="15.75">
      <c r="A86" s="5">
        <v>939</v>
      </c>
      <c r="B86" s="5">
        <v>8.1999999999999993</v>
      </c>
      <c r="C86">
        <f t="shared" si="4"/>
        <v>0.49681998340860906</v>
      </c>
      <c r="D86">
        <f t="shared" si="5"/>
        <v>0.49135977337110476</v>
      </c>
    </row>
    <row r="87" spans="1:4" ht="15.75">
      <c r="A87" s="5">
        <v>921</v>
      </c>
      <c r="B87" s="5">
        <v>7.3</v>
      </c>
      <c r="C87">
        <f t="shared" si="4"/>
        <v>0.48022859249700428</v>
      </c>
      <c r="D87">
        <f t="shared" si="5"/>
        <v>0.42762039660056661</v>
      </c>
    </row>
    <row r="88" spans="1:4" ht="15.75">
      <c r="A88" s="5">
        <v>813</v>
      </c>
      <c r="B88" s="5">
        <v>7.4</v>
      </c>
      <c r="C88">
        <f t="shared" si="4"/>
        <v>0.38068024702737574</v>
      </c>
      <c r="D88">
        <f t="shared" si="5"/>
        <v>0.43470254957507082</v>
      </c>
    </row>
    <row r="89" spans="1:4" ht="15.75">
      <c r="A89" s="5">
        <v>968</v>
      </c>
      <c r="B89" s="5">
        <v>8.6999999999999993</v>
      </c>
      <c r="C89">
        <f t="shared" si="4"/>
        <v>0.5235505576550834</v>
      </c>
      <c r="D89">
        <f t="shared" si="5"/>
        <v>0.52677053824362596</v>
      </c>
    </row>
    <row r="90" spans="1:4" ht="15.75">
      <c r="A90" s="5">
        <v>905</v>
      </c>
      <c r="B90" s="5">
        <v>7.4</v>
      </c>
      <c r="C90">
        <f t="shared" si="4"/>
        <v>0.46548068946446675</v>
      </c>
      <c r="D90">
        <f t="shared" si="5"/>
        <v>0.43470254957507082</v>
      </c>
    </row>
    <row r="91" spans="1:4" ht="15.75">
      <c r="A91" s="5">
        <v>848.6</v>
      </c>
      <c r="B91" s="5">
        <v>1.262</v>
      </c>
      <c r="C91">
        <f t="shared" si="4"/>
        <v>0.41349433127477186</v>
      </c>
      <c r="D91">
        <f t="shared" si="5"/>
        <v>0</v>
      </c>
    </row>
    <row r="92" spans="1:4" ht="15.75">
      <c r="A92" s="5">
        <v>954</v>
      </c>
      <c r="B92" s="5">
        <v>4.3760000000000003</v>
      </c>
      <c r="C92">
        <f t="shared" si="4"/>
        <v>0.510646142501613</v>
      </c>
      <c r="D92">
        <f t="shared" si="5"/>
        <v>0.22053824362606236</v>
      </c>
    </row>
    <row r="93" spans="1:4" ht="15.75">
      <c r="A93" s="5">
        <v>1040.4000000000001</v>
      </c>
      <c r="B93" s="5">
        <v>3.05</v>
      </c>
      <c r="C93">
        <f t="shared" si="4"/>
        <v>0.59028481887731588</v>
      </c>
      <c r="D93">
        <f t="shared" si="5"/>
        <v>0.12662889518413598</v>
      </c>
    </row>
    <row r="94" spans="1:4" ht="15.75">
      <c r="A94" s="5">
        <v>969.4</v>
      </c>
      <c r="B94" s="5">
        <v>7.5714199999999998</v>
      </c>
      <c r="C94">
        <f t="shared" si="4"/>
        <v>0.52484099917043037</v>
      </c>
      <c r="D94">
        <f t="shared" si="5"/>
        <v>0.44684277620396601</v>
      </c>
    </row>
    <row r="95" spans="1:4" ht="15.75">
      <c r="A95" s="5">
        <v>964.8</v>
      </c>
      <c r="B95" s="5">
        <v>5.1029999999999998</v>
      </c>
      <c r="C95">
        <f t="shared" si="4"/>
        <v>0.52060097704857577</v>
      </c>
      <c r="D95">
        <f t="shared" si="5"/>
        <v>0.27202549575070822</v>
      </c>
    </row>
    <row r="96" spans="1:4" ht="15.75">
      <c r="A96" s="5">
        <v>1091.1402545467199</v>
      </c>
      <c r="B96" s="5">
        <v>12.385300000000001</v>
      </c>
      <c r="C96">
        <f t="shared" si="4"/>
        <v>0.63705434099614699</v>
      </c>
      <c r="D96">
        <f t="shared" si="5"/>
        <v>0.78776912181303127</v>
      </c>
    </row>
    <row r="97" spans="1:4" ht="15.75">
      <c r="A97" s="5">
        <v>1046</v>
      </c>
      <c r="B97" s="5">
        <v>8.5519999999999996</v>
      </c>
      <c r="C97">
        <f t="shared" si="4"/>
        <v>0.59544658493870395</v>
      </c>
      <c r="D97">
        <f t="shared" si="5"/>
        <v>0.5162889518413597</v>
      </c>
    </row>
    <row r="98" spans="1:4" ht="15.75">
      <c r="A98" s="5">
        <v>1084.6196116198801</v>
      </c>
      <c r="B98" s="5">
        <v>12.5313</v>
      </c>
      <c r="C98">
        <f t="shared" si="4"/>
        <v>0.63104397789646971</v>
      </c>
      <c r="D98">
        <f t="shared" si="5"/>
        <v>0.79810906515580737</v>
      </c>
    </row>
    <row r="99" spans="1:4" ht="15.75">
      <c r="A99" s="5">
        <v>1110.8</v>
      </c>
      <c r="B99" s="5">
        <v>14.22</v>
      </c>
      <c r="C99">
        <f t="shared" si="4"/>
        <v>0.65517559222048105</v>
      </c>
      <c r="D99">
        <f t="shared" si="5"/>
        <v>0.91770538243626065</v>
      </c>
    </row>
    <row r="100" spans="1:4" ht="15.75">
      <c r="A100" s="5">
        <v>1014.8</v>
      </c>
      <c r="B100" s="5">
        <v>8.0277799999999999</v>
      </c>
      <c r="C100">
        <f t="shared" si="4"/>
        <v>0.56668817402525573</v>
      </c>
      <c r="D100">
        <f t="shared" si="5"/>
        <v>0.47916288951841357</v>
      </c>
    </row>
    <row r="101" spans="1:4" ht="15.75">
      <c r="A101" s="5">
        <v>1076.35675473112</v>
      </c>
      <c r="B101" s="5">
        <v>12.81644</v>
      </c>
      <c r="C101">
        <f t="shared" si="4"/>
        <v>0.62342773963602172</v>
      </c>
      <c r="D101">
        <f t="shared" si="5"/>
        <v>0.81830311614730877</v>
      </c>
    </row>
    <row r="102" spans="1:4" ht="15.75">
      <c r="A102" s="5">
        <v>1055.8</v>
      </c>
      <c r="B102" s="5">
        <v>11.86186</v>
      </c>
      <c r="C102">
        <f t="shared" si="4"/>
        <v>0.60447967554613324</v>
      </c>
      <c r="D102">
        <f t="shared" si="5"/>
        <v>0.7506983002832861</v>
      </c>
    </row>
    <row r="103" spans="1:4" ht="15.75">
      <c r="A103" s="5">
        <v>1003</v>
      </c>
      <c r="B103" s="5">
        <v>7.7921199999999997</v>
      </c>
      <c r="C103">
        <f t="shared" si="4"/>
        <v>0.55581159553875925</v>
      </c>
      <c r="D103">
        <f t="shared" si="5"/>
        <v>0.46247308781869689</v>
      </c>
    </row>
    <row r="104" spans="1:4" ht="15.75">
      <c r="A104" s="5">
        <v>1113</v>
      </c>
      <c r="B104" s="5">
        <v>15.382</v>
      </c>
      <c r="C104">
        <f t="shared" si="4"/>
        <v>0.65720342888745498</v>
      </c>
      <c r="D104">
        <f t="shared" si="5"/>
        <v>1</v>
      </c>
    </row>
    <row r="105" spans="1:4" ht="15.75">
      <c r="A105" s="5">
        <v>1041</v>
      </c>
      <c r="B105" s="5">
        <v>10.710660000000001</v>
      </c>
      <c r="C105">
        <f t="shared" si="4"/>
        <v>0.59083786524103599</v>
      </c>
      <c r="D105">
        <f t="shared" si="5"/>
        <v>0.66916855524079322</v>
      </c>
    </row>
    <row r="106" spans="1:4" ht="15.75">
      <c r="A106" s="5">
        <v>1020.8</v>
      </c>
      <c r="B106" s="5">
        <v>10.696960000000001</v>
      </c>
      <c r="C106">
        <f t="shared" si="4"/>
        <v>0.57221863766245729</v>
      </c>
      <c r="D106">
        <f t="shared" si="5"/>
        <v>0.6681983002832862</v>
      </c>
    </row>
    <row r="107" spans="1:4" ht="15.75">
      <c r="A107" s="5">
        <v>1008.24079320832</v>
      </c>
      <c r="B107" s="5">
        <v>9.1941199999999998</v>
      </c>
      <c r="C107">
        <f t="shared" si="4"/>
        <v>0.56064226491687708</v>
      </c>
      <c r="D107">
        <f t="shared" si="5"/>
        <v>0.56176487252124641</v>
      </c>
    </row>
    <row r="108" spans="1:4" ht="15.75">
      <c r="A108" s="5">
        <v>991.75554757822204</v>
      </c>
      <c r="B108" s="5">
        <v>8.9837000000000007</v>
      </c>
      <c r="C108">
        <f t="shared" si="4"/>
        <v>0.54544708966561162</v>
      </c>
      <c r="D108">
        <f t="shared" si="5"/>
        <v>0.54686260623229466</v>
      </c>
    </row>
    <row r="109" spans="1:4" ht="15.75">
      <c r="A109" s="5">
        <v>1009.01618145961</v>
      </c>
      <c r="B109" s="5">
        <v>8.4973749999999999</v>
      </c>
      <c r="C109">
        <f t="shared" si="4"/>
        <v>0.56135697433828924</v>
      </c>
      <c r="D109">
        <f t="shared" si="5"/>
        <v>0.51242032577903684</v>
      </c>
    </row>
    <row r="110" spans="1:4" ht="15.75">
      <c r="A110" s="5">
        <v>994.56877303380202</v>
      </c>
      <c r="B110" s="5">
        <v>7.2253400000000001</v>
      </c>
      <c r="C110">
        <f t="shared" si="4"/>
        <v>0.54804016317983406</v>
      </c>
      <c r="D110">
        <f t="shared" si="5"/>
        <v>0.42233286118980173</v>
      </c>
    </row>
    <row r="111" spans="1:4" ht="15.75">
      <c r="A111" s="5">
        <v>982.17820286009101</v>
      </c>
      <c r="B111" s="5">
        <v>6.9504999999999999</v>
      </c>
      <c r="C111">
        <f t="shared" si="4"/>
        <v>0.53661923021485014</v>
      </c>
      <c r="D111">
        <f t="shared" si="5"/>
        <v>0.40286827195467423</v>
      </c>
    </row>
    <row r="112" spans="1:4" ht="15.75">
      <c r="A112" s="5">
        <v>1037.95662580198</v>
      </c>
      <c r="B112" s="5">
        <v>10.756880000000001</v>
      </c>
      <c r="C112">
        <f t="shared" si="4"/>
        <v>0.58803265351827805</v>
      </c>
      <c r="D112">
        <f t="shared" si="5"/>
        <v>0.67244192634560906</v>
      </c>
    </row>
    <row r="113" spans="1:4" ht="15.75">
      <c r="A113" s="5">
        <v>1052.5999999999999</v>
      </c>
      <c r="B113" s="5">
        <v>11.86782</v>
      </c>
      <c r="C113">
        <f t="shared" si="4"/>
        <v>0.60153009493962561</v>
      </c>
      <c r="D113">
        <f t="shared" si="5"/>
        <v>0.75112039660056662</v>
      </c>
    </row>
    <row r="114" spans="1:4" ht="15.75">
      <c r="A114" s="5">
        <v>1057.75</v>
      </c>
      <c r="B114" s="5">
        <v>12.353325</v>
      </c>
      <c r="C114">
        <f t="shared" si="4"/>
        <v>0.6062770762282238</v>
      </c>
      <c r="D114">
        <f t="shared" si="5"/>
        <v>0.7855046033994334</v>
      </c>
    </row>
    <row r="115" spans="1:4" ht="15.75">
      <c r="A115" s="5">
        <v>1070.06546723254</v>
      </c>
      <c r="B115" s="5">
        <v>14.029820000000001</v>
      </c>
      <c r="C115">
        <f t="shared" si="4"/>
        <v>0.61762878351234207</v>
      </c>
      <c r="D115">
        <f t="shared" si="5"/>
        <v>0.90423654390934849</v>
      </c>
    </row>
    <row r="116" spans="1:4" ht="15.75">
      <c r="A116" s="5">
        <v>1081.16190173991</v>
      </c>
      <c r="B116" s="5">
        <v>13.90582</v>
      </c>
      <c r="C116">
        <f t="shared" si="4"/>
        <v>0.62785685476994191</v>
      </c>
      <c r="D116">
        <f t="shared" si="5"/>
        <v>0.89545467422096325</v>
      </c>
    </row>
    <row r="117" spans="1:4" ht="15.75">
      <c r="A117" s="5">
        <v>1014</v>
      </c>
      <c r="B117" s="5">
        <v>9.2815399999999997</v>
      </c>
      <c r="C117">
        <f t="shared" si="4"/>
        <v>0.56595077887362888</v>
      </c>
      <c r="D117">
        <f t="shared" si="5"/>
        <v>0.56795609065155805</v>
      </c>
    </row>
    <row r="118" spans="1:4" ht="15.75">
      <c r="A118" s="5">
        <v>1074.2</v>
      </c>
      <c r="B118" s="5">
        <v>13.464</v>
      </c>
      <c r="C118">
        <f t="shared" si="4"/>
        <v>0.6214397640335515</v>
      </c>
      <c r="D118">
        <f t="shared" si="5"/>
        <v>0.8641643059490085</v>
      </c>
    </row>
    <row r="119" spans="1:4" ht="15.75">
      <c r="A119" s="5">
        <v>1001.2</v>
      </c>
      <c r="B119" s="5">
        <v>9.7011599999999998</v>
      </c>
      <c r="C119">
        <f t="shared" si="4"/>
        <v>0.55415245644759881</v>
      </c>
      <c r="D119">
        <f t="shared" si="5"/>
        <v>0.5976742209631728</v>
      </c>
    </row>
    <row r="120" spans="1:4" ht="15.75">
      <c r="A120" s="5">
        <v>1078.8</v>
      </c>
      <c r="B120" s="5">
        <v>11.768000000000001</v>
      </c>
      <c r="C120">
        <f t="shared" si="4"/>
        <v>0.62567978615540598</v>
      </c>
      <c r="D120">
        <f t="shared" si="5"/>
        <v>0.74405099150141651</v>
      </c>
    </row>
    <row r="121" spans="1:4" ht="15.75">
      <c r="A121" s="5">
        <v>1002.25232102908</v>
      </c>
      <c r="B121" s="5">
        <v>9.3251799999999996</v>
      </c>
      <c r="C121">
        <f t="shared" si="4"/>
        <v>0.55512242697859704</v>
      </c>
      <c r="D121">
        <f t="shared" si="5"/>
        <v>0.5710467422096317</v>
      </c>
    </row>
    <row r="122" spans="1:4" ht="15.75">
      <c r="A122" s="5">
        <v>1038.4000000000001</v>
      </c>
      <c r="B122" s="5">
        <v>12.456</v>
      </c>
      <c r="C122">
        <f t="shared" si="4"/>
        <v>0.58844133099824869</v>
      </c>
      <c r="D122">
        <f t="shared" si="5"/>
        <v>0.79277620396600568</v>
      </c>
    </row>
    <row r="123" spans="1:4" ht="15.75">
      <c r="A123" s="5">
        <v>998.39572850678701</v>
      </c>
      <c r="B123" s="5">
        <v>9.3204200000000004</v>
      </c>
      <c r="C123">
        <f t="shared" si="4"/>
        <v>0.55156763619392291</v>
      </c>
      <c r="D123">
        <f t="shared" si="5"/>
        <v>0.57070963172804534</v>
      </c>
    </row>
    <row r="124" spans="1:4" ht="15.75">
      <c r="A124" s="5">
        <v>1074.5999999999999</v>
      </c>
      <c r="B124" s="5">
        <v>14.086</v>
      </c>
      <c r="C124">
        <f t="shared" si="4"/>
        <v>0.62180846160936476</v>
      </c>
      <c r="D124">
        <f t="shared" si="5"/>
        <v>0.90821529745042495</v>
      </c>
    </row>
    <row r="125" spans="1:4" ht="15.75">
      <c r="A125" s="5">
        <v>995.25476957436797</v>
      </c>
      <c r="B125" s="5">
        <v>9.1956000000000007</v>
      </c>
      <c r="C125">
        <f t="shared" si="4"/>
        <v>0.54867247633364169</v>
      </c>
      <c r="D125">
        <f t="shared" si="5"/>
        <v>0.56186968838526918</v>
      </c>
    </row>
    <row r="126" spans="1:4" ht="15.75">
      <c r="A126" s="5">
        <v>1036</v>
      </c>
      <c r="B126" s="5">
        <v>12.39354</v>
      </c>
      <c r="C126">
        <f t="shared" si="4"/>
        <v>0.58622914554336802</v>
      </c>
      <c r="D126">
        <f t="shared" si="5"/>
        <v>0.78835269121813034</v>
      </c>
    </row>
    <row r="127" spans="1:4" ht="15.75">
      <c r="A127" s="5">
        <v>1054</v>
      </c>
      <c r="B127" s="5">
        <v>13.582599999999999</v>
      </c>
      <c r="C127">
        <f t="shared" si="4"/>
        <v>0.6028205364549728</v>
      </c>
      <c r="D127">
        <f t="shared" si="5"/>
        <v>0.87256373937677045</v>
      </c>
    </row>
    <row r="128" spans="1:4" ht="15.75">
      <c r="A128" s="5">
        <v>1054.8</v>
      </c>
      <c r="B128" s="5">
        <v>12.49554</v>
      </c>
      <c r="C128">
        <f t="shared" si="4"/>
        <v>0.60355793160659954</v>
      </c>
      <c r="D128">
        <f t="shared" si="5"/>
        <v>0.79557648725212471</v>
      </c>
    </row>
    <row r="129" spans="1:4" ht="15.75">
      <c r="A129" s="5">
        <v>960.25</v>
      </c>
      <c r="B129" s="5">
        <v>3.0049999999999999</v>
      </c>
      <c r="C129">
        <f t="shared" si="4"/>
        <v>0.51640704212369803</v>
      </c>
      <c r="D129">
        <f t="shared" si="5"/>
        <v>0.12344192634560906</v>
      </c>
    </row>
    <row r="130" spans="1:4" ht="15.75">
      <c r="A130" s="5">
        <v>1037.25</v>
      </c>
      <c r="B130" s="5">
        <v>7.8834999999999997</v>
      </c>
      <c r="C130">
        <f t="shared" ref="C130:C139" si="6">(A130-400)/(1484.9-400)</f>
        <v>0.58738132546778499</v>
      </c>
      <c r="D130">
        <f t="shared" ref="D130:D139" si="7">(B130-1.262)/(15.382-1.262)</f>
        <v>0.46894475920679884</v>
      </c>
    </row>
    <row r="131" spans="1:4" ht="15.75">
      <c r="A131" s="5">
        <v>1015.4</v>
      </c>
      <c r="B131" s="5">
        <v>4.4660000000000002</v>
      </c>
      <c r="C131">
        <f t="shared" si="6"/>
        <v>0.56724122038897584</v>
      </c>
      <c r="D131">
        <f t="shared" si="7"/>
        <v>0.22691218130311616</v>
      </c>
    </row>
    <row r="132" spans="1:4" ht="15.75">
      <c r="A132" s="5">
        <v>1033</v>
      </c>
      <c r="B132" s="5">
        <v>10.809100000000001</v>
      </c>
      <c r="C132">
        <f t="shared" si="6"/>
        <v>0.58346391372476725</v>
      </c>
      <c r="D132">
        <f t="shared" si="7"/>
        <v>0.67614022662889528</v>
      </c>
    </row>
    <row r="133" spans="1:4" ht="15.75">
      <c r="A133" s="5">
        <v>1230.06</v>
      </c>
      <c r="B133" s="5">
        <v>7.5</v>
      </c>
      <c r="C133">
        <f t="shared" si="6"/>
        <v>0.76510277444925789</v>
      </c>
      <c r="D133">
        <f t="shared" si="7"/>
        <v>0.44178470254957508</v>
      </c>
    </row>
    <row r="134" spans="1:4" ht="15.75">
      <c r="A134" s="5">
        <v>1242.43</v>
      </c>
      <c r="B134" s="5">
        <v>7.42</v>
      </c>
      <c r="C134">
        <f t="shared" si="6"/>
        <v>0.77650474698128857</v>
      </c>
      <c r="D134">
        <f t="shared" si="7"/>
        <v>0.43611898016997164</v>
      </c>
    </row>
    <row r="135" spans="1:4" ht="15.75">
      <c r="A135" s="5">
        <v>1240.82</v>
      </c>
      <c r="B135" s="5">
        <v>7.83</v>
      </c>
      <c r="C135">
        <f t="shared" si="6"/>
        <v>0.77502073923863934</v>
      </c>
      <c r="D135">
        <f t="shared" si="7"/>
        <v>0.4651558073654391</v>
      </c>
    </row>
    <row r="136" spans="1:4" ht="15.75">
      <c r="A136" s="5">
        <v>1202</v>
      </c>
      <c r="B136" s="5">
        <v>14.82</v>
      </c>
      <c r="C136">
        <f t="shared" si="6"/>
        <v>0.73923863950594515</v>
      </c>
      <c r="D136">
        <f t="shared" si="7"/>
        <v>0.96019830028328612</v>
      </c>
    </row>
    <row r="137" spans="1:4" ht="15.75">
      <c r="A137" s="5">
        <v>1065</v>
      </c>
      <c r="B137" s="5">
        <v>6</v>
      </c>
      <c r="C137">
        <f t="shared" si="6"/>
        <v>0.61295971978984232</v>
      </c>
      <c r="D137">
        <f t="shared" si="7"/>
        <v>0.3355524079320113</v>
      </c>
    </row>
    <row r="138" spans="1:4" ht="15.75">
      <c r="A138" s="5">
        <v>948</v>
      </c>
      <c r="B138" s="5">
        <v>8</v>
      </c>
      <c r="C138">
        <f t="shared" si="6"/>
        <v>0.50511567886441144</v>
      </c>
      <c r="D138">
        <f t="shared" si="7"/>
        <v>0.47719546742209629</v>
      </c>
    </row>
    <row r="139" spans="1:4" ht="15.75">
      <c r="A139" s="5">
        <v>1097.7839256979814</v>
      </c>
      <c r="B139" s="5">
        <v>10.241</v>
      </c>
      <c r="C139">
        <f t="shared" si="6"/>
        <v>0.6431781046160765</v>
      </c>
      <c r="D139">
        <f t="shared" si="7"/>
        <v>0.63590651558073652</v>
      </c>
    </row>
    <row r="140" spans="1:4" ht="15.75">
      <c r="A140" s="5">
        <v>1118.9703553986492</v>
      </c>
      <c r="B140" s="5">
        <v>10.0782666666667</v>
      </c>
      <c r="C140">
        <f>(A140-400)/(1484.9-400)</f>
        <v>0.66270656779302162</v>
      </c>
      <c r="D140">
        <f>(B140-1.262)/(15.382-1.262)</f>
        <v>0.6243814919735623</v>
      </c>
    </row>
    <row r="141" spans="1:4">
      <c r="A141">
        <f>MIN(A1:A140)</f>
        <v>400</v>
      </c>
      <c r="B141">
        <f>MIN(B1:B140)</f>
        <v>1.262</v>
      </c>
      <c r="C141">
        <f>_xlfn.STDEV.P(C1:C140)</f>
        <v>0.14377200788761532</v>
      </c>
      <c r="D141">
        <f>_xlfn.STDEV.P(D1:D140)</f>
        <v>0.2285259079318134</v>
      </c>
    </row>
    <row r="142" spans="1:4">
      <c r="A142">
        <f>MAX(A1:A141)</f>
        <v>1484.9</v>
      </c>
      <c r="B142">
        <f>MAX(B1:B141)</f>
        <v>15.382</v>
      </c>
    </row>
  </sheetData>
  <phoneticPr fontId="3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USERA</dc:creator>
  <cp:lastModifiedBy>帅 张</cp:lastModifiedBy>
  <dcterms:created xsi:type="dcterms:W3CDTF">2015-06-05T18:19:34Z</dcterms:created>
  <dcterms:modified xsi:type="dcterms:W3CDTF">2025-12-23T09:58:44Z</dcterms:modified>
</cp:coreProperties>
</file>